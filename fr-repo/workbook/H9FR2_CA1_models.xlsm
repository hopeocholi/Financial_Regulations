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8.xml" ContentType="application/vnd.openxmlformats-officedocument.drawing+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omments3.xml" ContentType="application/vnd.openxmlformats-officedocument.spreadsheetml.comments+xml"/>
  <Override PartName="/xl/charts/chart12.xml" ContentType="application/vnd.openxmlformats-officedocument.drawingml.chart+xml"/>
  <Override PartName="/xl/drawings/drawing10.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mc:AlternateContent xmlns:mc="http://schemas.openxmlformats.org/markup-compatibility/2006">
    <mc:Choice Requires="x15">
      <x15ac:absPath xmlns:x15ac="http://schemas.microsoft.com/office/spreadsheetml/2010/11/ac" url="/Users/hope/Downloads/"/>
    </mc:Choice>
  </mc:AlternateContent>
  <xr:revisionPtr revIDLastSave="0" documentId="8_{326EFFAB-1AA7-894B-B327-8573BD94B9AB}" xr6:coauthVersionLast="47" xr6:coauthVersionMax="47" xr10:uidLastSave="{00000000-0000-0000-0000-000000000000}"/>
  <bookViews>
    <workbookView xWindow="0" yWindow="0" windowWidth="28800" windowHeight="18000" tabRatio="500" xr2:uid="{00000000-000D-0000-FFFF-FFFF00000000}"/>
  </bookViews>
  <sheets>
    <sheet name="Menu" sheetId="1" r:id="rId1"/>
    <sheet name="Colab_Links" sheetId="2" r:id="rId2"/>
    <sheet name="Q5_i_Annuity" sheetId="3" r:id="rId3"/>
    <sheet name="Q5_ii_Bond_Duration" sheetId="4" r:id="rId4"/>
    <sheet name="Q5_iii_YTM" sheetId="5" r:id="rId5"/>
    <sheet name="Q5_iv_Mortgage" sheetId="6" r:id="rId6"/>
    <sheet name="Q5_v_TermStructure" sheetId="7" r:id="rId7"/>
    <sheet name="Q6_i_Black76" sheetId="8" r:id="rId8"/>
    <sheet name="Data_From_Collab" sheetId="12" r:id="rId9"/>
    <sheet name="Q6_ii_RawData" sheetId="9" r:id="rId10"/>
    <sheet name="Q6_ii_VaR_CVaR" sheetId="10" r:id="rId11"/>
    <sheet name="Q6_iii_ESO" sheetId="11" r:id="rId12"/>
  </sheets>
  <functionGroups builtInGroupCount="19"/>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20" i="10" l="1"/>
  <c r="C19" i="10"/>
  <c r="C18" i="10"/>
  <c r="O20" i="10"/>
  <c r="O19" i="10"/>
  <c r="O18" i="10"/>
  <c r="O17" i="10"/>
  <c r="O16" i="10"/>
  <c r="O15" i="10"/>
  <c r="O14" i="10"/>
  <c r="O13" i="10"/>
  <c r="O12" i="10"/>
  <c r="N20" i="10"/>
  <c r="N19" i="10"/>
  <c r="N18" i="10"/>
  <c r="N17" i="10"/>
  <c r="N16" i="10"/>
  <c r="N15" i="10"/>
  <c r="N14" i="10"/>
  <c r="N13" i="10"/>
  <c r="N11" i="10"/>
  <c r="M20" i="10"/>
  <c r="M19" i="10"/>
  <c r="M18" i="10"/>
  <c r="M17" i="10"/>
  <c r="M16" i="10"/>
  <c r="M15" i="10"/>
  <c r="M14" i="10"/>
  <c r="M13" i="10"/>
  <c r="M12" i="10"/>
  <c r="L20" i="10"/>
  <c r="L19" i="10"/>
  <c r="L18" i="10"/>
  <c r="L17" i="10"/>
  <c r="L16" i="10"/>
  <c r="L15" i="10"/>
  <c r="L14" i="10"/>
  <c r="K20" i="10"/>
  <c r="K19" i="10"/>
  <c r="K18" i="10"/>
  <c r="K17" i="10"/>
  <c r="K16" i="10"/>
  <c r="K15" i="10"/>
  <c r="K14" i="10"/>
  <c r="K13" i="10"/>
  <c r="K12" i="10"/>
  <c r="J19" i="10"/>
  <c r="J18" i="10"/>
  <c r="J20" i="10"/>
  <c r="J17" i="10"/>
  <c r="J16" i="10"/>
  <c r="J15" i="10"/>
  <c r="J14" i="10"/>
  <c r="J13" i="10"/>
  <c r="J12" i="10"/>
  <c r="J11" i="10"/>
  <c r="I20" i="10"/>
  <c r="I19" i="10"/>
  <c r="I18" i="10"/>
  <c r="I17" i="10"/>
  <c r="I16" i="10"/>
  <c r="I15" i="10"/>
  <c r="I14" i="10"/>
  <c r="I13" i="10"/>
  <c r="I12" i="10"/>
  <c r="I11" i="10"/>
  <c r="H20" i="10"/>
  <c r="H19" i="10"/>
  <c r="H18" i="10"/>
  <c r="H17" i="10"/>
  <c r="H16" i="10"/>
  <c r="H15" i="10"/>
  <c r="H14" i="10"/>
  <c r="H13" i="10"/>
  <c r="H12" i="10"/>
  <c r="F12" i="10"/>
  <c r="F13" i="10"/>
  <c r="F14" i="10"/>
  <c r="F15" i="10"/>
  <c r="F16" i="10"/>
  <c r="F17" i="10"/>
  <c r="F18" i="10"/>
  <c r="F19" i="10"/>
  <c r="F20" i="10"/>
  <c r="H11" i="10"/>
  <c r="G20" i="10"/>
  <c r="G19" i="10"/>
  <c r="G18" i="10"/>
  <c r="G17" i="10"/>
  <c r="G16" i="10"/>
  <c r="G15" i="10"/>
  <c r="G14" i="10"/>
  <c r="G13" i="10"/>
  <c r="G12" i="10"/>
  <c r="G11" i="10"/>
  <c r="C17" i="10"/>
  <c r="C16" i="10"/>
  <c r="C15" i="10"/>
  <c r="C14" i="10"/>
  <c r="C13" i="10"/>
  <c r="C12" i="10"/>
  <c r="C11" i="10"/>
  <c r="D20" i="10"/>
  <c r="D19" i="10"/>
  <c r="D18" i="10"/>
  <c r="D17" i="10"/>
  <c r="D16" i="10"/>
  <c r="D15" i="10"/>
  <c r="D14" i="10"/>
  <c r="D13" i="10"/>
  <c r="D12" i="10"/>
  <c r="D11" i="10"/>
  <c r="L12" i="10"/>
  <c r="L13" i="10"/>
  <c r="N12" i="10"/>
  <c r="O11" i="10"/>
  <c r="M11" i="10"/>
  <c r="L11" i="10"/>
  <c r="K11" i="10"/>
  <c r="F11" i="10"/>
  <c r="B21" i="11"/>
  <c r="B20" i="11"/>
  <c r="B16" i="11"/>
  <c r="E12" i="11"/>
  <c r="N11" i="11"/>
  <c r="E11" i="11"/>
  <c r="N10" i="11"/>
  <c r="H10" i="11"/>
  <c r="E10" i="11"/>
  <c r="N9" i="11"/>
  <c r="H9" i="11"/>
  <c r="E9" i="11"/>
  <c r="N8" i="11"/>
  <c r="H8" i="11"/>
  <c r="E8" i="11"/>
  <c r="N7" i="11"/>
  <c r="H7" i="11"/>
  <c r="E7" i="11"/>
  <c r="N6" i="11"/>
  <c r="H6" i="11"/>
  <c r="E6" i="11"/>
  <c r="B274" i="10"/>
  <c r="A274" i="10"/>
  <c r="B273" i="10"/>
  <c r="A273" i="10"/>
  <c r="B272" i="10"/>
  <c r="A272" i="10"/>
  <c r="B271" i="10"/>
  <c r="A271" i="10"/>
  <c r="B270" i="10"/>
  <c r="A270" i="10"/>
  <c r="B269" i="10"/>
  <c r="A269" i="10"/>
  <c r="B268" i="10"/>
  <c r="A268" i="10"/>
  <c r="B267" i="10"/>
  <c r="A267" i="10"/>
  <c r="B266" i="10"/>
  <c r="A266" i="10"/>
  <c r="B265" i="10"/>
  <c r="A265" i="10"/>
  <c r="B264" i="10"/>
  <c r="A264" i="10"/>
  <c r="B263" i="10"/>
  <c r="A263" i="10"/>
  <c r="B262" i="10"/>
  <c r="A262" i="10"/>
  <c r="B261" i="10"/>
  <c r="A261" i="10"/>
  <c r="B260" i="10"/>
  <c r="A260" i="10"/>
  <c r="B259" i="10"/>
  <c r="A259" i="10"/>
  <c r="B258" i="10"/>
  <c r="A258" i="10"/>
  <c r="B257" i="10"/>
  <c r="A257" i="10"/>
  <c r="B256" i="10"/>
  <c r="A256" i="10"/>
  <c r="B255" i="10"/>
  <c r="A255" i="10"/>
  <c r="B254" i="10"/>
  <c r="A254" i="10"/>
  <c r="B253" i="10"/>
  <c r="A253" i="10"/>
  <c r="B252" i="10"/>
  <c r="A252" i="10"/>
  <c r="B251" i="10"/>
  <c r="A251" i="10"/>
  <c r="B250" i="10"/>
  <c r="A250" i="10"/>
  <c r="B249" i="10"/>
  <c r="A249" i="10"/>
  <c r="B248" i="10"/>
  <c r="A248" i="10"/>
  <c r="B247" i="10"/>
  <c r="A247" i="10"/>
  <c r="B246" i="10"/>
  <c r="A246" i="10"/>
  <c r="B245" i="10"/>
  <c r="A245" i="10"/>
  <c r="B244" i="10"/>
  <c r="A244" i="10"/>
  <c r="B243" i="10"/>
  <c r="A243" i="10"/>
  <c r="B242" i="10"/>
  <c r="A242" i="10"/>
  <c r="B241" i="10"/>
  <c r="A241" i="10"/>
  <c r="B240" i="10"/>
  <c r="A240" i="10"/>
  <c r="B239" i="10"/>
  <c r="A239" i="10"/>
  <c r="B238" i="10"/>
  <c r="A238" i="10"/>
  <c r="B237" i="10"/>
  <c r="A237" i="10"/>
  <c r="B236" i="10"/>
  <c r="A236" i="10"/>
  <c r="B235" i="10"/>
  <c r="A235" i="10"/>
  <c r="B234" i="10"/>
  <c r="A234" i="10"/>
  <c r="B233" i="10"/>
  <c r="A233" i="10"/>
  <c r="B232" i="10"/>
  <c r="A232" i="10"/>
  <c r="B231" i="10"/>
  <c r="A231" i="10"/>
  <c r="B230" i="10"/>
  <c r="A230" i="10"/>
  <c r="B229" i="10"/>
  <c r="A229" i="10"/>
  <c r="B228" i="10"/>
  <c r="A228" i="10"/>
  <c r="B227" i="10"/>
  <c r="A227" i="10"/>
  <c r="B226" i="10"/>
  <c r="A226" i="10"/>
  <c r="B225" i="10"/>
  <c r="A225" i="10"/>
  <c r="B224" i="10"/>
  <c r="A224" i="10"/>
  <c r="B223" i="10"/>
  <c r="A223" i="10"/>
  <c r="B222" i="10"/>
  <c r="A222" i="10"/>
  <c r="B221" i="10"/>
  <c r="A221" i="10"/>
  <c r="B220" i="10"/>
  <c r="A220" i="10"/>
  <c r="B219" i="10"/>
  <c r="A219" i="10"/>
  <c r="B218" i="10"/>
  <c r="A218" i="10"/>
  <c r="B217" i="10"/>
  <c r="A217" i="10"/>
  <c r="B216" i="10"/>
  <c r="A216" i="10"/>
  <c r="B215" i="10"/>
  <c r="A215" i="10"/>
  <c r="B214" i="10"/>
  <c r="A214" i="10"/>
  <c r="B213" i="10"/>
  <c r="A213" i="10"/>
  <c r="B212" i="10"/>
  <c r="A212" i="10"/>
  <c r="B211" i="10"/>
  <c r="A211" i="10"/>
  <c r="B210" i="10"/>
  <c r="A210" i="10"/>
  <c r="B209" i="10"/>
  <c r="A209" i="10"/>
  <c r="B208" i="10"/>
  <c r="A208" i="10"/>
  <c r="B207" i="10"/>
  <c r="A207" i="10"/>
  <c r="B206" i="10"/>
  <c r="A206" i="10"/>
  <c r="B205" i="10"/>
  <c r="A205" i="10"/>
  <c r="B204" i="10"/>
  <c r="A204" i="10"/>
  <c r="B203" i="10"/>
  <c r="A203" i="10"/>
  <c r="B202" i="10"/>
  <c r="A202" i="10"/>
  <c r="B201" i="10"/>
  <c r="A201" i="10"/>
  <c r="B200" i="10"/>
  <c r="A200" i="10"/>
  <c r="B199" i="10"/>
  <c r="A199" i="10"/>
  <c r="B198" i="10"/>
  <c r="A198" i="10"/>
  <c r="B197" i="10"/>
  <c r="A197" i="10"/>
  <c r="B196" i="10"/>
  <c r="A196" i="10"/>
  <c r="B195" i="10"/>
  <c r="A195" i="10"/>
  <c r="B194" i="10"/>
  <c r="A194" i="10"/>
  <c r="B193" i="10"/>
  <c r="A193" i="10"/>
  <c r="B192" i="10"/>
  <c r="A192" i="10"/>
  <c r="B191" i="10"/>
  <c r="A191" i="10"/>
  <c r="B190" i="10"/>
  <c r="A190" i="10"/>
  <c r="B189" i="10"/>
  <c r="A189" i="10"/>
  <c r="B188" i="10"/>
  <c r="A188" i="10"/>
  <c r="B187" i="10"/>
  <c r="A187" i="10"/>
  <c r="B186" i="10"/>
  <c r="A186" i="10"/>
  <c r="B185" i="10"/>
  <c r="A185" i="10"/>
  <c r="B184" i="10"/>
  <c r="A184" i="10"/>
  <c r="B183" i="10"/>
  <c r="A183" i="10"/>
  <c r="B182" i="10"/>
  <c r="A182" i="10"/>
  <c r="B181" i="10"/>
  <c r="A181" i="10"/>
  <c r="B180" i="10"/>
  <c r="A180" i="10"/>
  <c r="B179" i="10"/>
  <c r="A179" i="10"/>
  <c r="B178" i="10"/>
  <c r="A178" i="10"/>
  <c r="B177" i="10"/>
  <c r="A177" i="10"/>
  <c r="B176" i="10"/>
  <c r="A176" i="10"/>
  <c r="B175" i="10"/>
  <c r="A175" i="10"/>
  <c r="B174" i="10"/>
  <c r="A174" i="10"/>
  <c r="B173" i="10"/>
  <c r="A173" i="10"/>
  <c r="B172" i="10"/>
  <c r="A172" i="10"/>
  <c r="B171" i="10"/>
  <c r="A171" i="10"/>
  <c r="B170" i="10"/>
  <c r="A170" i="10"/>
  <c r="B169" i="10"/>
  <c r="A169" i="10"/>
  <c r="B168" i="10"/>
  <c r="A168" i="10"/>
  <c r="B167" i="10"/>
  <c r="A167" i="10"/>
  <c r="B166" i="10"/>
  <c r="A166" i="10"/>
  <c r="B165" i="10"/>
  <c r="A165" i="10"/>
  <c r="B164" i="10"/>
  <c r="A164" i="10"/>
  <c r="B163" i="10"/>
  <c r="A163" i="10"/>
  <c r="B162" i="10"/>
  <c r="A162" i="10"/>
  <c r="B161" i="10"/>
  <c r="A161" i="10"/>
  <c r="B160" i="10"/>
  <c r="A160" i="10"/>
  <c r="B159" i="10"/>
  <c r="A159" i="10"/>
  <c r="B158" i="10"/>
  <c r="A158" i="10"/>
  <c r="B157" i="10"/>
  <c r="A157" i="10"/>
  <c r="B156" i="10"/>
  <c r="A156" i="10"/>
  <c r="B155" i="10"/>
  <c r="A155" i="10"/>
  <c r="B154" i="10"/>
  <c r="A154" i="10"/>
  <c r="B153" i="10"/>
  <c r="A153" i="10"/>
  <c r="B152" i="10"/>
  <c r="A152" i="10"/>
  <c r="B151" i="10"/>
  <c r="A151" i="10"/>
  <c r="B150" i="10"/>
  <c r="A150" i="10"/>
  <c r="B149" i="10"/>
  <c r="A149" i="10"/>
  <c r="B148" i="10"/>
  <c r="A148" i="10"/>
  <c r="B147" i="10"/>
  <c r="A147" i="10"/>
  <c r="B146" i="10"/>
  <c r="A146" i="10"/>
  <c r="B145" i="10"/>
  <c r="A145" i="10"/>
  <c r="B144" i="10"/>
  <c r="A144" i="10"/>
  <c r="B143" i="10"/>
  <c r="A143" i="10"/>
  <c r="B142" i="10"/>
  <c r="A142" i="10"/>
  <c r="B141" i="10"/>
  <c r="A141" i="10"/>
  <c r="B140" i="10"/>
  <c r="A140" i="10"/>
  <c r="B139" i="10"/>
  <c r="A139" i="10"/>
  <c r="B138" i="10"/>
  <c r="A138" i="10"/>
  <c r="B137" i="10"/>
  <c r="A137" i="10"/>
  <c r="B136" i="10"/>
  <c r="A136" i="10"/>
  <c r="B135" i="10"/>
  <c r="A135" i="10"/>
  <c r="B134" i="10"/>
  <c r="A134" i="10"/>
  <c r="B133" i="10"/>
  <c r="A133" i="10"/>
  <c r="B132" i="10"/>
  <c r="A132" i="10"/>
  <c r="B131" i="10"/>
  <c r="A131" i="10"/>
  <c r="B130" i="10"/>
  <c r="A130" i="10"/>
  <c r="B129" i="10"/>
  <c r="A129" i="10"/>
  <c r="B128" i="10"/>
  <c r="A128" i="10"/>
  <c r="B127" i="10"/>
  <c r="A127" i="10"/>
  <c r="B126" i="10"/>
  <c r="A126" i="10"/>
  <c r="B125" i="10"/>
  <c r="A125" i="10"/>
  <c r="B124" i="10"/>
  <c r="A124" i="10"/>
  <c r="B123" i="10"/>
  <c r="A123" i="10"/>
  <c r="B122" i="10"/>
  <c r="A122" i="10"/>
  <c r="B121" i="10"/>
  <c r="A121" i="10"/>
  <c r="B120" i="10"/>
  <c r="A120" i="10"/>
  <c r="B119" i="10"/>
  <c r="A119" i="10"/>
  <c r="B118" i="10"/>
  <c r="A118" i="10"/>
  <c r="B117" i="10"/>
  <c r="A117" i="10"/>
  <c r="B116" i="10"/>
  <c r="A116" i="10"/>
  <c r="B115" i="10"/>
  <c r="A115" i="10"/>
  <c r="B114" i="10"/>
  <c r="A114" i="10"/>
  <c r="B113" i="10"/>
  <c r="A113" i="10"/>
  <c r="B112" i="10"/>
  <c r="A112" i="10"/>
  <c r="B111" i="10"/>
  <c r="A111" i="10"/>
  <c r="B110" i="10"/>
  <c r="A110" i="10"/>
  <c r="B109" i="10"/>
  <c r="A109" i="10"/>
  <c r="B108" i="10"/>
  <c r="A108" i="10"/>
  <c r="B107" i="10"/>
  <c r="A107" i="10"/>
  <c r="B106" i="10"/>
  <c r="A106" i="10"/>
  <c r="B105" i="10"/>
  <c r="A105" i="10"/>
  <c r="B104" i="10"/>
  <c r="A104" i="10"/>
  <c r="B103" i="10"/>
  <c r="A103" i="10"/>
  <c r="B102" i="10"/>
  <c r="A102" i="10"/>
  <c r="B101" i="10"/>
  <c r="A101" i="10"/>
  <c r="B100" i="10"/>
  <c r="A100" i="10"/>
  <c r="B99" i="10"/>
  <c r="A99" i="10"/>
  <c r="B98" i="10"/>
  <c r="A98" i="10"/>
  <c r="B97" i="10"/>
  <c r="A97" i="10"/>
  <c r="B96" i="10"/>
  <c r="A96" i="10"/>
  <c r="B95" i="10"/>
  <c r="A95" i="10"/>
  <c r="B94" i="10"/>
  <c r="A94" i="10"/>
  <c r="B93" i="10"/>
  <c r="A93" i="10"/>
  <c r="B92" i="10"/>
  <c r="A92" i="10"/>
  <c r="B91" i="10"/>
  <c r="A91" i="10"/>
  <c r="B90" i="10"/>
  <c r="A90" i="10"/>
  <c r="B89" i="10"/>
  <c r="A89" i="10"/>
  <c r="B88" i="10"/>
  <c r="A88" i="10"/>
  <c r="B87" i="10"/>
  <c r="A87" i="10"/>
  <c r="B86" i="10"/>
  <c r="A86" i="10"/>
  <c r="B85" i="10"/>
  <c r="A85" i="10"/>
  <c r="B84" i="10"/>
  <c r="A84" i="10"/>
  <c r="B83" i="10"/>
  <c r="A83" i="10"/>
  <c r="B82" i="10"/>
  <c r="A82" i="10"/>
  <c r="B81" i="10"/>
  <c r="A81" i="10"/>
  <c r="B80" i="10"/>
  <c r="A80" i="10"/>
  <c r="B79" i="10"/>
  <c r="A79" i="10"/>
  <c r="B78" i="10"/>
  <c r="A78" i="10"/>
  <c r="B77" i="10"/>
  <c r="A77" i="10"/>
  <c r="B76" i="10"/>
  <c r="A76" i="10"/>
  <c r="B75" i="10"/>
  <c r="A75" i="10"/>
  <c r="B74" i="10"/>
  <c r="A74" i="10"/>
  <c r="B73" i="10"/>
  <c r="A73" i="10"/>
  <c r="B72" i="10"/>
  <c r="A72" i="10"/>
  <c r="B71" i="10"/>
  <c r="A71" i="10"/>
  <c r="B70" i="10"/>
  <c r="A70" i="10"/>
  <c r="B69" i="10"/>
  <c r="A69" i="10"/>
  <c r="B68" i="10"/>
  <c r="A68" i="10"/>
  <c r="B67" i="10"/>
  <c r="A67" i="10"/>
  <c r="B66" i="10"/>
  <c r="A66" i="10"/>
  <c r="B65" i="10"/>
  <c r="A65" i="10"/>
  <c r="B64" i="10"/>
  <c r="A64" i="10"/>
  <c r="B63" i="10"/>
  <c r="A63" i="10"/>
  <c r="B62" i="10"/>
  <c r="A62" i="10"/>
  <c r="B61" i="10"/>
  <c r="A61" i="10"/>
  <c r="B60" i="10"/>
  <c r="A60" i="10"/>
  <c r="B59" i="10"/>
  <c r="A59" i="10"/>
  <c r="B58" i="10"/>
  <c r="A58" i="10"/>
  <c r="B57" i="10"/>
  <c r="A57" i="10"/>
  <c r="B56" i="10"/>
  <c r="A56" i="10"/>
  <c r="B55" i="10"/>
  <c r="A55" i="10"/>
  <c r="B54" i="10"/>
  <c r="A54" i="10"/>
  <c r="B53" i="10"/>
  <c r="A53" i="10"/>
  <c r="B52" i="10"/>
  <c r="A52" i="10"/>
  <c r="B51" i="10"/>
  <c r="A51" i="10"/>
  <c r="B50" i="10"/>
  <c r="A50" i="10"/>
  <c r="B49" i="10"/>
  <c r="A49" i="10"/>
  <c r="B48" i="10"/>
  <c r="A48" i="10"/>
  <c r="B47" i="10"/>
  <c r="A47" i="10"/>
  <c r="B46" i="10"/>
  <c r="A46" i="10"/>
  <c r="B45" i="10"/>
  <c r="A45" i="10"/>
  <c r="B44" i="10"/>
  <c r="A44" i="10"/>
  <c r="B43" i="10"/>
  <c r="A43" i="10"/>
  <c r="B42" i="10"/>
  <c r="A42" i="10"/>
  <c r="B41" i="10"/>
  <c r="A41" i="10"/>
  <c r="B40" i="10"/>
  <c r="A40" i="10"/>
  <c r="B39" i="10"/>
  <c r="A39" i="10"/>
  <c r="B38" i="10"/>
  <c r="A38" i="10"/>
  <c r="B37" i="10"/>
  <c r="A37" i="10"/>
  <c r="B36" i="10"/>
  <c r="A36" i="10"/>
  <c r="B35" i="10"/>
  <c r="A35" i="10"/>
  <c r="B34" i="10"/>
  <c r="A34" i="10"/>
  <c r="B33" i="10"/>
  <c r="A33" i="10"/>
  <c r="B32" i="10"/>
  <c r="A32" i="10"/>
  <c r="B31" i="10"/>
  <c r="A31" i="10"/>
  <c r="B30" i="10"/>
  <c r="A30" i="10"/>
  <c r="B29" i="10"/>
  <c r="A29" i="10"/>
  <c r="B28" i="10"/>
  <c r="A28" i="10"/>
  <c r="B27" i="10"/>
  <c r="A27" i="10"/>
  <c r="B26" i="10"/>
  <c r="A26" i="10"/>
  <c r="B25" i="10"/>
  <c r="A25" i="10"/>
  <c r="B24" i="10"/>
  <c r="A24" i="10"/>
  <c r="B23" i="10"/>
  <c r="E23" i="10" s="1"/>
  <c r="A23" i="10"/>
  <c r="P22" i="10"/>
  <c r="P20" i="10"/>
  <c r="P19" i="10"/>
  <c r="P18" i="10"/>
  <c r="P16" i="10"/>
  <c r="P15" i="10"/>
  <c r="P14" i="10"/>
  <c r="P12" i="10"/>
  <c r="P11" i="10"/>
  <c r="P10" i="10"/>
  <c r="P8" i="10"/>
  <c r="P7" i="10"/>
  <c r="P6" i="10"/>
  <c r="H15" i="8"/>
  <c r="H14" i="8"/>
  <c r="H13" i="8"/>
  <c r="E13" i="8"/>
  <c r="B13" i="8"/>
  <c r="H12" i="8"/>
  <c r="E12" i="8"/>
  <c r="H11" i="8"/>
  <c r="E11" i="8"/>
  <c r="H10" i="8"/>
  <c r="E10" i="8"/>
  <c r="H9" i="8"/>
  <c r="E9" i="8"/>
  <c r="H8" i="8"/>
  <c r="E8" i="8"/>
  <c r="H7" i="8"/>
  <c r="E7" i="8"/>
  <c r="H6" i="8"/>
  <c r="E6" i="8"/>
  <c r="H5" i="8"/>
  <c r="C13" i="7"/>
  <c r="C22" i="1" s="1"/>
  <c r="C12" i="7"/>
  <c r="C11" i="7"/>
  <c r="C10" i="7"/>
  <c r="C9" i="7"/>
  <c r="C8" i="7"/>
  <c r="C7" i="7"/>
  <c r="B17" i="6"/>
  <c r="B12" i="6"/>
  <c r="B13" i="6" s="1"/>
  <c r="C21" i="1" s="1"/>
  <c r="C17" i="5"/>
  <c r="B17" i="5"/>
  <c r="B12" i="5"/>
  <c r="D35" i="4"/>
  <c r="B35" i="4"/>
  <c r="D34" i="4"/>
  <c r="B34" i="4"/>
  <c r="D33" i="4"/>
  <c r="B33" i="4"/>
  <c r="D32" i="4"/>
  <c r="B32" i="4"/>
  <c r="D31" i="4"/>
  <c r="B31" i="4"/>
  <c r="D30" i="4"/>
  <c r="B30" i="4"/>
  <c r="D29" i="4"/>
  <c r="B29" i="4"/>
  <c r="D28" i="4"/>
  <c r="B28" i="4"/>
  <c r="D27" i="4"/>
  <c r="B27" i="4"/>
  <c r="D26" i="4"/>
  <c r="B26" i="4"/>
  <c r="D25" i="4"/>
  <c r="B25" i="4"/>
  <c r="D24" i="4"/>
  <c r="B24" i="4"/>
  <c r="D23" i="4"/>
  <c r="B23" i="4"/>
  <c r="D22" i="4"/>
  <c r="B22" i="4"/>
  <c r="L13" i="4"/>
  <c r="B13" i="4"/>
  <c r="L12" i="4"/>
  <c r="B12" i="4"/>
  <c r="L11" i="4"/>
  <c r="K11" i="4"/>
  <c r="U10" i="4"/>
  <c r="T10" i="4"/>
  <c r="S10" i="4"/>
  <c r="R10" i="4"/>
  <c r="Q10" i="4"/>
  <c r="P10" i="4"/>
  <c r="L10" i="4"/>
  <c r="K10" i="4"/>
  <c r="U9" i="4"/>
  <c r="T9" i="4"/>
  <c r="S9" i="4"/>
  <c r="R9" i="4"/>
  <c r="Q9" i="4"/>
  <c r="P9" i="4"/>
  <c r="L9" i="4"/>
  <c r="K9" i="4"/>
  <c r="U8" i="4"/>
  <c r="T8" i="4"/>
  <c r="S8" i="4"/>
  <c r="R8" i="4"/>
  <c r="Q8" i="4"/>
  <c r="P8" i="4"/>
  <c r="L8" i="4"/>
  <c r="K8" i="4"/>
  <c r="U7" i="4"/>
  <c r="T7" i="4"/>
  <c r="S7" i="4"/>
  <c r="R7" i="4"/>
  <c r="Q7" i="4"/>
  <c r="P7" i="4"/>
  <c r="L7" i="4"/>
  <c r="K7" i="4"/>
  <c r="U6" i="4"/>
  <c r="T6" i="4"/>
  <c r="S6" i="4"/>
  <c r="R6" i="4"/>
  <c r="Q6" i="4"/>
  <c r="P6" i="4"/>
  <c r="U5" i="4"/>
  <c r="T5" i="4"/>
  <c r="S5" i="4"/>
  <c r="R5" i="4"/>
  <c r="Q5" i="4"/>
  <c r="P5" i="4"/>
  <c r="H16" i="3"/>
  <c r="H15" i="3"/>
  <c r="E15" i="3"/>
  <c r="H14" i="3"/>
  <c r="E14" i="3"/>
  <c r="H13" i="3"/>
  <c r="E13" i="3"/>
  <c r="B13" i="3"/>
  <c r="H12" i="3"/>
  <c r="E12" i="3"/>
  <c r="B12" i="3"/>
  <c r="H11" i="3"/>
  <c r="E11" i="3"/>
  <c r="H10" i="3"/>
  <c r="E10" i="3"/>
  <c r="H9" i="3"/>
  <c r="E9" i="3"/>
  <c r="H8" i="3"/>
  <c r="E8" i="3"/>
  <c r="H7" i="3"/>
  <c r="E7" i="3"/>
  <c r="D17" i="5" l="1"/>
  <c r="E27" i="10"/>
  <c r="E26" i="10"/>
  <c r="B14" i="3"/>
  <c r="U6" i="10"/>
  <c r="P9" i="10"/>
  <c r="P13" i="10"/>
  <c r="P17" i="10"/>
  <c r="P21" i="10"/>
  <c r="E22" i="10"/>
  <c r="B16" i="3"/>
  <c r="C17" i="1" s="1"/>
  <c r="B15" i="3"/>
  <c r="C35" i="4"/>
  <c r="E35" i="4" s="1"/>
  <c r="C34" i="4"/>
  <c r="E34" i="4" s="1"/>
  <c r="C33" i="4"/>
  <c r="E33" i="4" s="1"/>
  <c r="C32" i="4"/>
  <c r="E32" i="4" s="1"/>
  <c r="C31" i="4"/>
  <c r="E31" i="4" s="1"/>
  <c r="C30" i="4"/>
  <c r="E30" i="4" s="1"/>
  <c r="C29" i="4"/>
  <c r="E29" i="4" s="1"/>
  <c r="C28" i="4"/>
  <c r="E28" i="4" s="1"/>
  <c r="C27" i="4"/>
  <c r="E27" i="4" s="1"/>
  <c r="C26" i="4"/>
  <c r="E26" i="4" s="1"/>
  <c r="C25" i="4"/>
  <c r="E25" i="4" s="1"/>
  <c r="C24" i="4"/>
  <c r="E24" i="4" s="1"/>
  <c r="C23" i="4"/>
  <c r="E23" i="4" s="1"/>
  <c r="C22" i="4"/>
  <c r="E22" i="4" s="1"/>
  <c r="B15" i="4"/>
  <c r="C18" i="1" s="1"/>
  <c r="K13" i="4"/>
  <c r="K12" i="4"/>
  <c r="F35" i="4"/>
  <c r="F34" i="4"/>
  <c r="F33" i="4"/>
  <c r="F32" i="4"/>
  <c r="F31" i="4"/>
  <c r="F30" i="4"/>
  <c r="F29" i="4"/>
  <c r="F28" i="4"/>
  <c r="F27" i="4"/>
  <c r="F26" i="4"/>
  <c r="F25" i="4"/>
  <c r="F24" i="4"/>
  <c r="F23" i="4"/>
  <c r="F22" i="4"/>
  <c r="B16" i="4"/>
  <c r="E17" i="5"/>
  <c r="F17" i="5" s="1"/>
  <c r="C316" i="6"/>
  <c r="C315" i="6"/>
  <c r="C314" i="6"/>
  <c r="C313" i="6"/>
  <c r="C312" i="6"/>
  <c r="C311" i="6"/>
  <c r="C310" i="6"/>
  <c r="C309" i="6"/>
  <c r="C308" i="6"/>
  <c r="C307" i="6"/>
  <c r="C306" i="6"/>
  <c r="C305" i="6"/>
  <c r="C304" i="6"/>
  <c r="C303" i="6"/>
  <c r="C302" i="6"/>
  <c r="C301" i="6"/>
  <c r="C300" i="6"/>
  <c r="C299" i="6"/>
  <c r="C298" i="6"/>
  <c r="C297" i="6"/>
  <c r="C296" i="6"/>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B14" i="6"/>
  <c r="F17" i="6"/>
  <c r="D17" i="6"/>
  <c r="B15" i="8"/>
  <c r="B14" i="8"/>
  <c r="P257" i="10"/>
  <c r="P256" i="10"/>
  <c r="P255" i="10"/>
  <c r="P254" i="10"/>
  <c r="P253" i="10"/>
  <c r="P252" i="10"/>
  <c r="P251" i="10"/>
  <c r="P250" i="10"/>
  <c r="P249" i="10"/>
  <c r="P248" i="10"/>
  <c r="P247" i="10"/>
  <c r="P246" i="10"/>
  <c r="P245" i="10"/>
  <c r="P244" i="10"/>
  <c r="P243" i="10"/>
  <c r="P242" i="10"/>
  <c r="P241" i="10"/>
  <c r="P240" i="10"/>
  <c r="P239" i="10"/>
  <c r="P238" i="10"/>
  <c r="P237" i="10"/>
  <c r="P236" i="10"/>
  <c r="P235" i="10"/>
  <c r="P234" i="10"/>
  <c r="P233" i="10"/>
  <c r="P232" i="10"/>
  <c r="P231" i="10"/>
  <c r="P230" i="10"/>
  <c r="P229" i="10"/>
  <c r="P228" i="10"/>
  <c r="P227" i="10"/>
  <c r="P226" i="10"/>
  <c r="P225" i="10"/>
  <c r="P224" i="10"/>
  <c r="P223" i="10"/>
  <c r="P222" i="10"/>
  <c r="P221" i="10"/>
  <c r="P220" i="10"/>
  <c r="P219" i="10"/>
  <c r="P218" i="10"/>
  <c r="P217" i="10"/>
  <c r="P216" i="10"/>
  <c r="P215" i="10"/>
  <c r="P214" i="10"/>
  <c r="P213" i="10"/>
  <c r="P212" i="10"/>
  <c r="P211"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B17" i="11"/>
  <c r="B18" i="11" s="1"/>
  <c r="B19" i="11" s="1"/>
  <c r="C25" i="1" s="1"/>
  <c r="V6" i="10" l="1"/>
  <c r="U7" i="10"/>
  <c r="E25" i="10"/>
  <c r="E24" i="10"/>
  <c r="C24" i="1" s="1"/>
  <c r="Q257" i="10"/>
  <c r="Q256" i="10"/>
  <c r="Q255" i="10"/>
  <c r="Q254" i="10"/>
  <c r="Q253" i="10"/>
  <c r="Q252" i="10"/>
  <c r="Q251" i="10"/>
  <c r="Q250" i="10"/>
  <c r="Q249" i="10"/>
  <c r="Q248" i="10"/>
  <c r="Q247" i="10"/>
  <c r="Q246" i="10"/>
  <c r="Q245" i="10"/>
  <c r="Q244" i="10"/>
  <c r="Q243" i="10"/>
  <c r="Q242" i="10"/>
  <c r="Q241" i="10"/>
  <c r="Q240" i="10"/>
  <c r="Q239" i="10"/>
  <c r="Q238" i="10"/>
  <c r="Q237" i="10"/>
  <c r="Q236" i="10"/>
  <c r="Q235" i="10"/>
  <c r="Q234" i="10"/>
  <c r="Q233" i="10"/>
  <c r="Q232" i="10"/>
  <c r="Q231" i="10"/>
  <c r="Q230" i="10"/>
  <c r="Q229" i="10"/>
  <c r="Q228" i="10"/>
  <c r="Q227" i="10"/>
  <c r="Q226" i="10"/>
  <c r="Q225" i="10"/>
  <c r="Q224" i="10"/>
  <c r="Q223" i="10"/>
  <c r="Q222" i="10"/>
  <c r="Q221" i="10"/>
  <c r="Q220" i="10"/>
  <c r="Q219" i="10"/>
  <c r="Q218" i="10"/>
  <c r="Q217" i="10"/>
  <c r="Q216" i="10"/>
  <c r="Q215" i="10"/>
  <c r="Q214" i="10"/>
  <c r="Q213" i="10"/>
  <c r="Q212" i="10"/>
  <c r="Q211" i="10"/>
  <c r="Q210" i="10"/>
  <c r="Q209" i="10"/>
  <c r="Q208" i="10"/>
  <c r="Q207" i="10"/>
  <c r="Q206" i="10"/>
  <c r="Q205" i="10"/>
  <c r="Q204" i="10"/>
  <c r="Q203" i="10"/>
  <c r="Q202" i="10"/>
  <c r="Q201" i="10"/>
  <c r="Q200" i="10"/>
  <c r="Q199" i="10"/>
  <c r="Q198" i="10"/>
  <c r="Q197" i="10"/>
  <c r="Q196" i="10"/>
  <c r="Q195" i="10"/>
  <c r="Q194" i="10"/>
  <c r="Q193" i="10"/>
  <c r="Q192" i="10"/>
  <c r="Q191" i="10"/>
  <c r="Q190" i="10"/>
  <c r="Q189" i="10"/>
  <c r="Q188" i="10"/>
  <c r="Q187" i="10"/>
  <c r="Q186" i="10"/>
  <c r="Q185" i="10"/>
  <c r="Q184" i="10"/>
  <c r="Q183" i="10"/>
  <c r="Q182" i="10"/>
  <c r="Q181" i="10"/>
  <c r="Q180" i="10"/>
  <c r="Q179" i="10"/>
  <c r="Q178" i="10"/>
  <c r="Q177" i="10"/>
  <c r="Q176" i="10"/>
  <c r="Q175" i="10"/>
  <c r="Q174" i="10"/>
  <c r="Q173" i="10"/>
  <c r="Q172" i="10"/>
  <c r="Q171" i="10"/>
  <c r="Q170" i="10"/>
  <c r="Q169" i="10"/>
  <c r="Q168" i="10"/>
  <c r="Q167" i="10"/>
  <c r="Q166" i="10"/>
  <c r="Q165" i="10"/>
  <c r="Q164" i="10"/>
  <c r="Q163" i="10"/>
  <c r="Q162" i="10"/>
  <c r="Q161" i="10"/>
  <c r="Q160" i="10"/>
  <c r="Q159" i="10"/>
  <c r="Q158" i="10"/>
  <c r="Q157" i="10"/>
  <c r="Q156" i="10"/>
  <c r="Q155" i="10"/>
  <c r="Q154" i="10"/>
  <c r="Q153" i="10"/>
  <c r="Q152" i="10"/>
  <c r="Q151" i="10"/>
  <c r="Q150" i="10"/>
  <c r="Q149" i="10"/>
  <c r="Q148" i="10"/>
  <c r="Q147" i="10"/>
  <c r="Q146" i="10"/>
  <c r="Q145" i="10"/>
  <c r="Q144" i="10"/>
  <c r="Q143" i="10"/>
  <c r="Q142" i="10"/>
  <c r="Q141" i="10"/>
  <c r="Q140" i="10"/>
  <c r="Q139" i="10"/>
  <c r="Q138" i="10"/>
  <c r="Q137" i="10"/>
  <c r="Q136" i="10"/>
  <c r="Q135" i="10"/>
  <c r="Q134" i="10"/>
  <c r="Q133" i="10"/>
  <c r="Q132" i="10"/>
  <c r="Q131" i="10"/>
  <c r="Q130" i="10"/>
  <c r="Q129" i="10"/>
  <c r="Q128" i="10"/>
  <c r="Q127" i="10"/>
  <c r="Q126" i="10"/>
  <c r="Q125" i="10"/>
  <c r="Q124" i="10"/>
  <c r="Q123" i="10"/>
  <c r="Q122" i="10"/>
  <c r="Q121" i="10"/>
  <c r="Q120" i="10"/>
  <c r="Q119" i="10"/>
  <c r="Q118" i="10"/>
  <c r="Q117" i="10"/>
  <c r="Q116" i="10"/>
  <c r="Q115" i="10"/>
  <c r="Q114" i="10"/>
  <c r="Q113" i="10"/>
  <c r="Q112" i="10"/>
  <c r="Q111" i="10"/>
  <c r="Q110" i="10"/>
  <c r="Q109" i="10"/>
  <c r="Q108" i="10"/>
  <c r="Q107" i="10"/>
  <c r="Q106" i="10"/>
  <c r="Q105" i="10"/>
  <c r="Q104" i="10"/>
  <c r="Q103" i="10"/>
  <c r="Q102" i="10"/>
  <c r="Q101" i="10"/>
  <c r="Q100" i="10"/>
  <c r="Q99" i="10"/>
  <c r="Q98" i="10"/>
  <c r="Q97" i="10"/>
  <c r="Q96" i="10"/>
  <c r="Q95" i="10"/>
  <c r="Q94" i="10"/>
  <c r="Q93" i="10"/>
  <c r="Q92" i="10"/>
  <c r="Q91" i="10"/>
  <c r="Q90" i="10"/>
  <c r="Q89" i="10"/>
  <c r="Q88" i="10"/>
  <c r="Q87" i="10"/>
  <c r="Q86" i="10"/>
  <c r="Q85" i="10"/>
  <c r="Q84" i="10"/>
  <c r="Q83" i="10"/>
  <c r="Q82" i="10"/>
  <c r="Q81" i="10"/>
  <c r="Q80" i="10"/>
  <c r="Q79" i="10"/>
  <c r="Q78" i="10"/>
  <c r="Q77" i="10"/>
  <c r="Q76" i="10"/>
  <c r="Q75" i="10"/>
  <c r="Q74" i="10"/>
  <c r="Q73" i="10"/>
  <c r="Q72" i="10"/>
  <c r="Q71" i="10"/>
  <c r="Q70" i="10"/>
  <c r="Q69" i="10"/>
  <c r="Q68" i="10"/>
  <c r="Q67" i="10"/>
  <c r="Q66" i="10"/>
  <c r="Q65" i="10"/>
  <c r="Q64" i="10"/>
  <c r="Q63" i="10"/>
  <c r="Q62" i="10"/>
  <c r="Q61" i="10"/>
  <c r="Q60" i="10"/>
  <c r="Q59" i="10"/>
  <c r="Q58" i="10"/>
  <c r="Q57" i="10"/>
  <c r="Q56" i="10"/>
  <c r="Q55" i="10"/>
  <c r="Q54" i="10"/>
  <c r="Q53" i="10"/>
  <c r="Q52" i="10"/>
  <c r="Q51" i="10"/>
  <c r="Q50" i="10"/>
  <c r="Q49" i="10"/>
  <c r="Q48" i="10"/>
  <c r="Q47" i="10"/>
  <c r="Q46" i="10"/>
  <c r="Q45" i="10"/>
  <c r="Q44" i="10"/>
  <c r="Q43" i="10"/>
  <c r="Q42" i="10"/>
  <c r="Q41" i="10"/>
  <c r="Q40" i="10"/>
  <c r="Q39" i="10"/>
  <c r="Q38" i="10"/>
  <c r="Q37" i="10"/>
  <c r="Q36" i="10"/>
  <c r="Q35" i="10"/>
  <c r="Q34" i="10"/>
  <c r="Q33" i="10"/>
  <c r="Q32" i="10"/>
  <c r="Q31" i="10"/>
  <c r="Q30" i="10"/>
  <c r="Q29" i="10"/>
  <c r="Q28" i="10"/>
  <c r="Q27" i="10"/>
  <c r="Q26" i="10"/>
  <c r="Q25" i="10"/>
  <c r="Q24" i="10"/>
  <c r="Q23" i="10"/>
  <c r="Q22" i="10"/>
  <c r="Q21" i="10"/>
  <c r="Q20" i="10"/>
  <c r="Q19" i="10"/>
  <c r="Q18" i="10"/>
  <c r="Q17" i="10"/>
  <c r="Q16" i="10"/>
  <c r="Q15" i="10"/>
  <c r="Q14" i="10"/>
  <c r="Q13" i="10"/>
  <c r="Q12" i="10"/>
  <c r="Q11" i="10"/>
  <c r="Q10" i="10"/>
  <c r="Q9" i="10"/>
  <c r="Q8" i="10"/>
  <c r="Q7" i="10"/>
  <c r="Q6"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B19" i="8"/>
  <c r="B16" i="8"/>
  <c r="B18" i="8"/>
  <c r="E17" i="6"/>
  <c r="G17" i="6" s="1"/>
  <c r="H17" i="6" s="1"/>
  <c r="B18" i="6" s="1"/>
  <c r="C18" i="5"/>
  <c r="B18" i="5"/>
  <c r="D18" i="5" s="1"/>
  <c r="E18" i="5" s="1"/>
  <c r="F18" i="5" s="1"/>
  <c r="G17" i="5"/>
  <c r="B17" i="4"/>
  <c r="B18" i="4" s="1"/>
  <c r="C19" i="1"/>
  <c r="G22" i="4"/>
  <c r="H22" i="4" s="1"/>
  <c r="G23" i="4"/>
  <c r="H23" i="4" s="1"/>
  <c r="G24" i="4"/>
  <c r="H24" i="4" s="1"/>
  <c r="G25" i="4"/>
  <c r="H25" i="4" s="1"/>
  <c r="G26" i="4"/>
  <c r="H26" i="4" s="1"/>
  <c r="G27" i="4"/>
  <c r="H27" i="4" s="1"/>
  <c r="G28" i="4"/>
  <c r="H28" i="4" s="1"/>
  <c r="G29" i="4"/>
  <c r="H29" i="4" s="1"/>
  <c r="G30" i="4"/>
  <c r="H30" i="4" s="1"/>
  <c r="G31" i="4"/>
  <c r="H31" i="4" s="1"/>
  <c r="G32" i="4"/>
  <c r="H32" i="4" s="1"/>
  <c r="G33" i="4"/>
  <c r="H33" i="4" s="1"/>
  <c r="G34" i="4"/>
  <c r="H34" i="4" s="1"/>
  <c r="G35" i="4"/>
  <c r="H35" i="4" s="1"/>
  <c r="U8" i="10" l="1"/>
  <c r="V7" i="10"/>
  <c r="C19" i="5"/>
  <c r="B19" i="5"/>
  <c r="D19" i="5" s="1"/>
  <c r="E19" i="5" s="1"/>
  <c r="F19" i="5" s="1"/>
  <c r="G18" i="5"/>
  <c r="F18" i="6"/>
  <c r="D18" i="6"/>
  <c r="E18" i="6" s="1"/>
  <c r="G18" i="6" s="1"/>
  <c r="H18" i="6" s="1"/>
  <c r="B19" i="6" s="1"/>
  <c r="B21" i="8"/>
  <c r="C23" i="1"/>
  <c r="U9" i="10" l="1"/>
  <c r="V8" i="10"/>
  <c r="F19" i="6"/>
  <c r="D19" i="6"/>
  <c r="E19" i="6" s="1"/>
  <c r="G19" i="6" s="1"/>
  <c r="H19" i="6" s="1"/>
  <c r="B20" i="6" s="1"/>
  <c r="C20" i="5"/>
  <c r="B20" i="5"/>
  <c r="G19" i="5"/>
  <c r="U10" i="10" l="1"/>
  <c r="D20" i="5"/>
  <c r="E20" i="5" s="1"/>
  <c r="F20" i="5" s="1"/>
  <c r="C21" i="5" s="1"/>
  <c r="V9" i="10"/>
  <c r="B21" i="5"/>
  <c r="G20" i="5"/>
  <c r="F20" i="6"/>
  <c r="D20" i="6"/>
  <c r="E20" i="6" s="1"/>
  <c r="U11" i="10" l="1"/>
  <c r="D21" i="5"/>
  <c r="E21" i="5" s="1"/>
  <c r="F21" i="5" s="1"/>
  <c r="G21" i="5" s="1"/>
  <c r="G20" i="6"/>
  <c r="H20" i="6" s="1"/>
  <c r="B21" i="6" s="1"/>
  <c r="V10" i="10"/>
  <c r="F21" i="6"/>
  <c r="D21" i="6"/>
  <c r="E21" i="6" s="1"/>
  <c r="G21" i="6" s="1"/>
  <c r="H21" i="6" s="1"/>
  <c r="B22" i="6" s="1"/>
  <c r="U12" i="10" l="1"/>
  <c r="B22" i="5"/>
  <c r="D22" i="5" s="1"/>
  <c r="E22" i="5" s="1"/>
  <c r="F22" i="5" s="1"/>
  <c r="C23" i="5" s="1"/>
  <c r="C22" i="5"/>
  <c r="V11" i="10"/>
  <c r="F22" i="6"/>
  <c r="D22" i="6"/>
  <c r="E22" i="6" s="1"/>
  <c r="G22" i="6" s="1"/>
  <c r="H22" i="6" s="1"/>
  <c r="B23" i="6" s="1"/>
  <c r="B23" i="5" l="1"/>
  <c r="D23" i="5" s="1"/>
  <c r="E23" i="5" s="1"/>
  <c r="F23" i="5" s="1"/>
  <c r="C24" i="5" s="1"/>
  <c r="U13" i="10"/>
  <c r="V13" i="10"/>
  <c r="G22" i="5"/>
  <c r="V12" i="10"/>
  <c r="F23" i="6"/>
  <c r="D23" i="6"/>
  <c r="E23" i="6" s="1"/>
  <c r="G23" i="6" s="1"/>
  <c r="H23" i="6" s="1"/>
  <c r="B24" i="6" s="1"/>
  <c r="B24" i="5"/>
  <c r="G23" i="5"/>
  <c r="U14" i="10" l="1"/>
  <c r="V14" i="10" s="1"/>
  <c r="D24" i="5"/>
  <c r="E24" i="5" s="1"/>
  <c r="F24" i="5" s="1"/>
  <c r="C25" i="5" s="1"/>
  <c r="F24" i="6"/>
  <c r="D24" i="6"/>
  <c r="E24" i="6" s="1"/>
  <c r="G24" i="5" l="1"/>
  <c r="B25" i="5"/>
  <c r="D25" i="5" s="1"/>
  <c r="E25" i="5" s="1"/>
  <c r="F25" i="5" s="1"/>
  <c r="B26" i="5" s="1"/>
  <c r="D26" i="5" s="1"/>
  <c r="E26" i="5" s="1"/>
  <c r="F26" i="5" s="1"/>
  <c r="G24" i="6"/>
  <c r="H24" i="6" s="1"/>
  <c r="B25" i="6" s="1"/>
  <c r="F25" i="6" s="1"/>
  <c r="U15" i="10"/>
  <c r="D25" i="6"/>
  <c r="E25" i="6" s="1"/>
  <c r="C26" i="5"/>
  <c r="G25" i="5"/>
  <c r="U16" i="10" l="1"/>
  <c r="V16" i="10"/>
  <c r="G25" i="6"/>
  <c r="H25" i="6" s="1"/>
  <c r="B26" i="6" s="1"/>
  <c r="D26" i="6" s="1"/>
  <c r="E26" i="6" s="1"/>
  <c r="G26" i="6" s="1"/>
  <c r="H26" i="6" s="1"/>
  <c r="B27" i="6" s="1"/>
  <c r="V15" i="10"/>
  <c r="C27" i="5"/>
  <c r="B27" i="5"/>
  <c r="D27" i="5" s="1"/>
  <c r="E27" i="5" s="1"/>
  <c r="F27" i="5" s="1"/>
  <c r="G26" i="5"/>
  <c r="F26" i="6"/>
  <c r="U17" i="10" l="1"/>
  <c r="U18" i="10" s="1"/>
  <c r="F27" i="6"/>
  <c r="D27" i="6"/>
  <c r="E27" i="6" s="1"/>
  <c r="C28" i="5"/>
  <c r="B28" i="5"/>
  <c r="D28" i="5" s="1"/>
  <c r="E28" i="5" s="1"/>
  <c r="F28" i="5" s="1"/>
  <c r="G27" i="5"/>
  <c r="V17" i="10" l="1"/>
  <c r="G27" i="6"/>
  <c r="H27" i="6" s="1"/>
  <c r="B28" i="6" s="1"/>
  <c r="D28" i="6" s="1"/>
  <c r="E28" i="6" s="1"/>
  <c r="G28" i="6" s="1"/>
  <c r="H28" i="6" s="1"/>
  <c r="B29" i="6" s="1"/>
  <c r="U19" i="10"/>
  <c r="C29" i="5"/>
  <c r="B29" i="5"/>
  <c r="D29" i="5" s="1"/>
  <c r="E29" i="5" s="1"/>
  <c r="F29" i="5" s="1"/>
  <c r="G28" i="5"/>
  <c r="F28" i="6"/>
  <c r="V18" i="10"/>
  <c r="U20" i="10" l="1"/>
  <c r="V19" i="10"/>
  <c r="F29" i="6"/>
  <c r="D29" i="6"/>
  <c r="E29" i="6" s="1"/>
  <c r="G29" i="6" s="1"/>
  <c r="H29" i="6" s="1"/>
  <c r="B30" i="6" s="1"/>
  <c r="C30" i="5"/>
  <c r="C31" i="5" s="1"/>
  <c r="B30" i="5"/>
  <c r="G29" i="5"/>
  <c r="U21" i="10" l="1"/>
  <c r="V21" i="10" s="1"/>
  <c r="V20" i="10"/>
  <c r="B31" i="5"/>
  <c r="D30" i="5"/>
  <c r="F30" i="6"/>
  <c r="D30" i="6"/>
  <c r="E30" i="6" s="1"/>
  <c r="G30" i="6" s="1"/>
  <c r="H30" i="6" s="1"/>
  <c r="B31" i="6" s="1"/>
  <c r="U22" i="10" l="1"/>
  <c r="F31" i="6"/>
  <c r="D31" i="6"/>
  <c r="E31" i="6" s="1"/>
  <c r="G31" i="6" s="1"/>
  <c r="H31" i="6" s="1"/>
  <c r="B32" i="6" s="1"/>
  <c r="D31" i="5"/>
  <c r="B15" i="5"/>
  <c r="C20" i="1" s="1"/>
  <c r="E30" i="5"/>
  <c r="F30" i="5" s="1"/>
  <c r="G30" i="5" s="1"/>
  <c r="U23" i="10" l="1"/>
  <c r="V23" i="10" s="1"/>
  <c r="V22" i="10"/>
  <c r="F32" i="6"/>
  <c r="D32" i="6"/>
  <c r="E32" i="6" s="1"/>
  <c r="G32" i="6" s="1"/>
  <c r="H32" i="6" s="1"/>
  <c r="B33" i="6" s="1"/>
  <c r="U24" i="10" l="1"/>
  <c r="F33" i="6"/>
  <c r="D33" i="6"/>
  <c r="E33" i="6" s="1"/>
  <c r="G33" i="6" s="1"/>
  <c r="H33" i="6" s="1"/>
  <c r="B34" i="6" s="1"/>
  <c r="U25" i="10" l="1"/>
  <c r="V25" i="10" s="1"/>
  <c r="V24" i="10"/>
  <c r="F34" i="6"/>
  <c r="D34" i="6"/>
  <c r="E34" i="6" s="1"/>
  <c r="G34" i="6" l="1"/>
  <c r="H34" i="6" s="1"/>
  <c r="B35" i="6" s="1"/>
  <c r="F35" i="6" s="1"/>
  <c r="D35" i="6" l="1"/>
  <c r="E35" i="6" s="1"/>
  <c r="G35" i="6" s="1"/>
  <c r="H35" i="6" s="1"/>
  <c r="B36" i="6" s="1"/>
  <c r="F36" i="6" s="1"/>
  <c r="D36" i="6" l="1"/>
  <c r="E36" i="6" s="1"/>
  <c r="G36" i="6" s="1"/>
  <c r="H36" i="6" s="1"/>
  <c r="B37" i="6" s="1"/>
  <c r="D37" i="6" s="1"/>
  <c r="E37" i="6" s="1"/>
  <c r="F37" i="6" l="1"/>
  <c r="G37" i="6" s="1"/>
  <c r="H37" i="6" s="1"/>
  <c r="B38" i="6" s="1"/>
  <c r="F38" i="6" l="1"/>
  <c r="D38" i="6"/>
  <c r="E38" i="6" s="1"/>
  <c r="G38" i="6" s="1"/>
  <c r="H38" i="6" s="1"/>
  <c r="B39" i="6" s="1"/>
  <c r="F39" i="6" s="1"/>
  <c r="D39" i="6" l="1"/>
  <c r="E39" i="6" s="1"/>
  <c r="G39" i="6" s="1"/>
  <c r="H39" i="6" s="1"/>
  <c r="B40" i="6" s="1"/>
  <c r="F40" i="6" s="1"/>
  <c r="D40" i="6" l="1"/>
  <c r="E40" i="6" s="1"/>
  <c r="G40" i="6" s="1"/>
  <c r="H40" i="6" s="1"/>
  <c r="B41" i="6" s="1"/>
  <c r="F41" i="6" s="1"/>
  <c r="D41" i="6"/>
  <c r="E41" i="6" s="1"/>
  <c r="G41" i="6" l="1"/>
  <c r="H41" i="6" s="1"/>
  <c r="B42" i="6" s="1"/>
  <c r="F42" i="6" s="1"/>
  <c r="D42" i="6" l="1"/>
  <c r="E42" i="6" s="1"/>
  <c r="G42" i="6" s="1"/>
  <c r="H42" i="6" s="1"/>
  <c r="B43" i="6" s="1"/>
  <c r="F43" i="6" s="1"/>
  <c r="D43" i="6" l="1"/>
  <c r="E43" i="6" s="1"/>
  <c r="G43" i="6" s="1"/>
  <c r="H43" i="6" s="1"/>
  <c r="B44" i="6" s="1"/>
  <c r="D44" i="6" s="1"/>
  <c r="E44" i="6" s="1"/>
  <c r="G44" i="6" s="1"/>
  <c r="H44" i="6" s="1"/>
  <c r="B45" i="6" s="1"/>
  <c r="F44" i="6"/>
  <c r="F45" i="6" l="1"/>
  <c r="D45" i="6"/>
  <c r="E45" i="6" s="1"/>
  <c r="G45" i="6" s="1"/>
  <c r="H45" i="6" s="1"/>
  <c r="B46" i="6" s="1"/>
  <c r="F46" i="6" l="1"/>
  <c r="D46" i="6"/>
  <c r="E46" i="6" s="1"/>
  <c r="G46" i="6" s="1"/>
  <c r="H46" i="6" s="1"/>
  <c r="B47" i="6" s="1"/>
  <c r="F47" i="6" l="1"/>
  <c r="D47" i="6"/>
  <c r="E47" i="6" s="1"/>
  <c r="G47" i="6" s="1"/>
  <c r="H47" i="6" s="1"/>
  <c r="B48" i="6" s="1"/>
  <c r="F48" i="6" l="1"/>
  <c r="D48" i="6"/>
  <c r="E48" i="6" s="1"/>
  <c r="G48" i="6" s="1"/>
  <c r="H48" i="6" s="1"/>
  <c r="B49" i="6" s="1"/>
  <c r="F49" i="6" l="1"/>
  <c r="D49" i="6"/>
  <c r="E49" i="6" s="1"/>
  <c r="G49" i="6" s="1"/>
  <c r="H49" i="6" s="1"/>
  <c r="B50" i="6" s="1"/>
  <c r="F50" i="6" l="1"/>
  <c r="D50" i="6"/>
  <c r="E50" i="6" s="1"/>
  <c r="G50" i="6" s="1"/>
  <c r="H50" i="6" s="1"/>
  <c r="B51" i="6" s="1"/>
  <c r="F51" i="6" l="1"/>
  <c r="D51" i="6"/>
  <c r="E51" i="6" s="1"/>
  <c r="G51" i="6" s="1"/>
  <c r="H51" i="6" s="1"/>
  <c r="B52" i="6" s="1"/>
  <c r="F52" i="6" l="1"/>
  <c r="D52" i="6"/>
  <c r="E52" i="6" s="1"/>
  <c r="G52" i="6" s="1"/>
  <c r="H52" i="6" s="1"/>
  <c r="B53" i="6" s="1"/>
  <c r="F53" i="6" l="1"/>
  <c r="D53" i="6"/>
  <c r="E53" i="6" s="1"/>
  <c r="G53" i="6" s="1"/>
  <c r="H53" i="6" s="1"/>
  <c r="B54" i="6" s="1"/>
  <c r="F54" i="6" l="1"/>
  <c r="D54" i="6"/>
  <c r="E54" i="6" s="1"/>
  <c r="G54" i="6" s="1"/>
  <c r="H54" i="6" s="1"/>
  <c r="B55" i="6" s="1"/>
  <c r="F55" i="6" l="1"/>
  <c r="D55" i="6"/>
  <c r="E55" i="6" s="1"/>
  <c r="G55" i="6" s="1"/>
  <c r="H55" i="6" s="1"/>
  <c r="B56" i="6" s="1"/>
  <c r="F56" i="6" l="1"/>
  <c r="D56" i="6"/>
  <c r="E56" i="6" s="1"/>
  <c r="G56" i="6" s="1"/>
  <c r="H56" i="6" s="1"/>
  <c r="B57" i="6" s="1"/>
  <c r="F57" i="6" l="1"/>
  <c r="D57" i="6"/>
  <c r="E57" i="6" s="1"/>
  <c r="G57" i="6" s="1"/>
  <c r="H57" i="6" s="1"/>
  <c r="B58" i="6" s="1"/>
  <c r="F58" i="6" l="1"/>
  <c r="D58" i="6"/>
  <c r="E58" i="6" s="1"/>
  <c r="G58" i="6" l="1"/>
  <c r="H58" i="6" s="1"/>
  <c r="B59" i="6" s="1"/>
  <c r="F59" i="6" s="1"/>
  <c r="D59" i="6" l="1"/>
  <c r="E59" i="6" s="1"/>
  <c r="G59" i="6" s="1"/>
  <c r="H59" i="6" s="1"/>
  <c r="B60" i="6" s="1"/>
  <c r="D60" i="6" s="1"/>
  <c r="E60" i="6" s="1"/>
  <c r="F60" i="6" l="1"/>
  <c r="G60" i="6" s="1"/>
  <c r="H60" i="6" s="1"/>
  <c r="B61" i="6" s="1"/>
  <c r="F61" i="6" l="1"/>
  <c r="D61" i="6"/>
  <c r="E61" i="6" s="1"/>
  <c r="G61" i="6" s="1"/>
  <c r="H61" i="6" s="1"/>
  <c r="B62" i="6" s="1"/>
  <c r="F62" i="6" s="1"/>
  <c r="D62" i="6" l="1"/>
  <c r="E62" i="6" s="1"/>
  <c r="G62" i="6" s="1"/>
  <c r="H62" i="6" s="1"/>
  <c r="B63" i="6" s="1"/>
  <c r="F63" i="6" s="1"/>
  <c r="D63" i="6" l="1"/>
  <c r="E63" i="6" s="1"/>
  <c r="G63" i="6" s="1"/>
  <c r="H63" i="6" s="1"/>
  <c r="B64" i="6" s="1"/>
  <c r="D64" i="6" s="1"/>
  <c r="E64" i="6" s="1"/>
  <c r="F64" i="6" l="1"/>
  <c r="G64" i="6" s="1"/>
  <c r="H64" i="6" s="1"/>
  <c r="B65" i="6" s="1"/>
  <c r="F65" i="6" l="1"/>
  <c r="D65" i="6"/>
  <c r="E65" i="6" s="1"/>
  <c r="G65" i="6" s="1"/>
  <c r="H65" i="6" s="1"/>
  <c r="B66" i="6" s="1"/>
  <c r="F66" i="6" s="1"/>
  <c r="D66" i="6" l="1"/>
  <c r="E66" i="6" s="1"/>
  <c r="G66" i="6" s="1"/>
  <c r="H66" i="6" s="1"/>
  <c r="B67" i="6" s="1"/>
  <c r="D67" i="6" s="1"/>
  <c r="E67" i="6" s="1"/>
  <c r="F67" i="6" l="1"/>
  <c r="G67" i="6" s="1"/>
  <c r="H67" i="6" s="1"/>
  <c r="B68" i="6" s="1"/>
  <c r="F68" i="6" l="1"/>
  <c r="D68" i="6"/>
  <c r="E68" i="6" s="1"/>
  <c r="G68" i="6" s="1"/>
  <c r="H68" i="6" s="1"/>
  <c r="B69" i="6" s="1"/>
  <c r="D69" i="6" s="1"/>
  <c r="E69" i="6" s="1"/>
  <c r="F69" i="6" l="1"/>
  <c r="G69" i="6" s="1"/>
  <c r="H69" i="6" s="1"/>
  <c r="B70" i="6" s="1"/>
  <c r="F70" i="6" l="1"/>
  <c r="D70" i="6"/>
  <c r="E70" i="6" s="1"/>
  <c r="G70" i="6" s="1"/>
  <c r="H70" i="6" s="1"/>
  <c r="B71" i="6" s="1"/>
  <c r="F71" i="6" s="1"/>
  <c r="D71" i="6" l="1"/>
  <c r="E71" i="6" s="1"/>
  <c r="G71" i="6" s="1"/>
  <c r="H71" i="6" s="1"/>
  <c r="B72" i="6" s="1"/>
  <c r="F72" i="6"/>
  <c r="D72" i="6"/>
  <c r="E72" i="6" s="1"/>
  <c r="G72" i="6" s="1"/>
  <c r="H72" i="6" s="1"/>
  <c r="B73" i="6" s="1"/>
  <c r="F73" i="6" l="1"/>
  <c r="D73" i="6"/>
  <c r="E73" i="6" s="1"/>
  <c r="G73" i="6" s="1"/>
  <c r="H73" i="6" s="1"/>
  <c r="B74" i="6" s="1"/>
  <c r="F74" i="6" l="1"/>
  <c r="D74" i="6"/>
  <c r="E74" i="6" s="1"/>
  <c r="G74" i="6" l="1"/>
  <c r="H74" i="6" s="1"/>
  <c r="B75" i="6" s="1"/>
  <c r="F75" i="6"/>
  <c r="D75" i="6"/>
  <c r="E75" i="6" s="1"/>
  <c r="G75" i="6" s="1"/>
  <c r="H75" i="6" s="1"/>
  <c r="B76" i="6" s="1"/>
  <c r="F76" i="6" l="1"/>
  <c r="D76" i="6"/>
  <c r="E76" i="6" s="1"/>
  <c r="G76" i="6" s="1"/>
  <c r="H76" i="6" s="1"/>
  <c r="B77" i="6" s="1"/>
  <c r="F77" i="6" l="1"/>
  <c r="D77" i="6"/>
  <c r="E77" i="6" s="1"/>
  <c r="G77" i="6" s="1"/>
  <c r="H77" i="6" s="1"/>
  <c r="B78" i="6" s="1"/>
  <c r="F78" i="6" l="1"/>
  <c r="D78" i="6"/>
  <c r="E78" i="6" s="1"/>
  <c r="G78" i="6" s="1"/>
  <c r="H78" i="6" s="1"/>
  <c r="B79" i="6" s="1"/>
  <c r="F79" i="6" l="1"/>
  <c r="D79" i="6"/>
  <c r="E79" i="6" s="1"/>
  <c r="G79" i="6" s="1"/>
  <c r="H79" i="6" s="1"/>
  <c r="B80" i="6" s="1"/>
  <c r="F80" i="6" l="1"/>
  <c r="D80" i="6"/>
  <c r="E80" i="6" s="1"/>
  <c r="G80" i="6" l="1"/>
  <c r="H80" i="6" s="1"/>
  <c r="B81" i="6" s="1"/>
  <c r="F81" i="6"/>
  <c r="D81" i="6"/>
  <c r="E81" i="6" s="1"/>
  <c r="G81" i="6" s="1"/>
  <c r="H81" i="6" s="1"/>
  <c r="B82" i="6" s="1"/>
  <c r="F82" i="6" l="1"/>
  <c r="D82" i="6"/>
  <c r="E82" i="6" s="1"/>
  <c r="G82" i="6" s="1"/>
  <c r="H82" i="6" s="1"/>
  <c r="B83" i="6" s="1"/>
  <c r="F83" i="6" l="1"/>
  <c r="D83" i="6"/>
  <c r="E83" i="6" s="1"/>
  <c r="G83" i="6" s="1"/>
  <c r="H83" i="6" s="1"/>
  <c r="B84" i="6" s="1"/>
  <c r="F84" i="6" l="1"/>
  <c r="D84" i="6"/>
  <c r="E84" i="6" s="1"/>
  <c r="G84" i="6" s="1"/>
  <c r="H84" i="6" s="1"/>
  <c r="B85" i="6" s="1"/>
  <c r="F85" i="6" l="1"/>
  <c r="D85" i="6"/>
  <c r="E85" i="6" s="1"/>
  <c r="G85" i="6" s="1"/>
  <c r="H85" i="6" s="1"/>
  <c r="B86" i="6" s="1"/>
  <c r="F86" i="6" l="1"/>
  <c r="D86" i="6"/>
  <c r="E86" i="6" s="1"/>
  <c r="G86" i="6" l="1"/>
  <c r="H86" i="6" s="1"/>
  <c r="B87" i="6" s="1"/>
  <c r="F87" i="6" s="1"/>
  <c r="D87" i="6" l="1"/>
  <c r="E87" i="6" s="1"/>
  <c r="G87" i="6" s="1"/>
  <c r="H87" i="6" s="1"/>
  <c r="B88" i="6" s="1"/>
  <c r="F88" i="6" s="1"/>
  <c r="D88" i="6" l="1"/>
  <c r="E88" i="6" s="1"/>
  <c r="G88" i="6" s="1"/>
  <c r="H88" i="6" s="1"/>
  <c r="B89" i="6" s="1"/>
  <c r="F89" i="6"/>
  <c r="D89" i="6"/>
  <c r="E89" i="6" s="1"/>
  <c r="G89" i="6" l="1"/>
  <c r="H89" i="6" s="1"/>
  <c r="B90" i="6" s="1"/>
  <c r="D90" i="6" s="1"/>
  <c r="E90" i="6" s="1"/>
  <c r="F90" i="6" l="1"/>
  <c r="G90" i="6" s="1"/>
  <c r="H90" i="6" s="1"/>
  <c r="B91" i="6" s="1"/>
  <c r="F91" i="6" l="1"/>
  <c r="D91" i="6"/>
  <c r="E91" i="6" s="1"/>
  <c r="G91" i="6" s="1"/>
  <c r="H91" i="6" s="1"/>
  <c r="B92" i="6" s="1"/>
  <c r="F92" i="6" s="1"/>
  <c r="D92" i="6" l="1"/>
  <c r="E92" i="6" s="1"/>
  <c r="G92" i="6" s="1"/>
  <c r="H92" i="6" s="1"/>
  <c r="B93" i="6" s="1"/>
  <c r="F93" i="6" s="1"/>
  <c r="D93" i="6" l="1"/>
  <c r="E93" i="6" s="1"/>
  <c r="G93" i="6" s="1"/>
  <c r="H93" i="6" s="1"/>
  <c r="B94" i="6" s="1"/>
  <c r="D94" i="6" s="1"/>
  <c r="E94" i="6" s="1"/>
  <c r="F94" i="6" l="1"/>
  <c r="G94" i="6" s="1"/>
  <c r="H94" i="6" s="1"/>
  <c r="B95" i="6" s="1"/>
  <c r="F95" i="6" l="1"/>
  <c r="D95" i="6"/>
  <c r="E95" i="6" s="1"/>
  <c r="G95" i="6" s="1"/>
  <c r="H95" i="6" s="1"/>
  <c r="B96" i="6" s="1"/>
  <c r="D96" i="6" s="1"/>
  <c r="E96" i="6" s="1"/>
  <c r="F96" i="6" l="1"/>
  <c r="G96" i="6" s="1"/>
  <c r="H96" i="6" s="1"/>
  <c r="B97" i="6" s="1"/>
  <c r="D97" i="6" l="1"/>
  <c r="E97" i="6" s="1"/>
  <c r="G97" i="6" s="1"/>
  <c r="H97" i="6" s="1"/>
  <c r="B98" i="6" s="1"/>
  <c r="F98" i="6" s="1"/>
  <c r="F97" i="6"/>
  <c r="D98" i="6" l="1"/>
  <c r="E98" i="6" s="1"/>
  <c r="G98" i="6" s="1"/>
  <c r="H98" i="6" s="1"/>
  <c r="B99" i="6" s="1"/>
  <c r="F99" i="6"/>
  <c r="D99" i="6"/>
  <c r="E99" i="6" s="1"/>
  <c r="G99" i="6" s="1"/>
  <c r="H99" i="6" s="1"/>
  <c r="B100" i="6" s="1"/>
  <c r="F100" i="6" l="1"/>
  <c r="D100" i="6"/>
  <c r="E100" i="6" s="1"/>
  <c r="G100" i="6" s="1"/>
  <c r="H100" i="6" s="1"/>
  <c r="B101" i="6" s="1"/>
  <c r="F101" i="6" l="1"/>
  <c r="D101" i="6"/>
  <c r="E101" i="6" s="1"/>
  <c r="G101" i="6" s="1"/>
  <c r="H101" i="6" s="1"/>
  <c r="B102" i="6" s="1"/>
  <c r="F102" i="6" l="1"/>
  <c r="D102" i="6"/>
  <c r="E102" i="6" s="1"/>
  <c r="G102" i="6" s="1"/>
  <c r="H102" i="6" s="1"/>
  <c r="B103" i="6" s="1"/>
  <c r="F103" i="6" l="1"/>
  <c r="D103" i="6"/>
  <c r="E103" i="6" s="1"/>
  <c r="G103" i="6" s="1"/>
  <c r="H103" i="6" s="1"/>
  <c r="B104" i="6" s="1"/>
  <c r="F104" i="6" l="1"/>
  <c r="D104" i="6"/>
  <c r="E104" i="6" s="1"/>
  <c r="G104" i="6" s="1"/>
  <c r="H104" i="6" s="1"/>
  <c r="B105" i="6" s="1"/>
  <c r="F105" i="6" l="1"/>
  <c r="D105" i="6"/>
  <c r="E105" i="6" s="1"/>
  <c r="G105" i="6" s="1"/>
  <c r="H105" i="6" s="1"/>
  <c r="B106" i="6" s="1"/>
  <c r="F106" i="6" l="1"/>
  <c r="D106" i="6"/>
  <c r="E106" i="6" s="1"/>
  <c r="G106" i="6" s="1"/>
  <c r="H106" i="6" s="1"/>
  <c r="B107" i="6" s="1"/>
  <c r="F107" i="6" l="1"/>
  <c r="D107" i="6"/>
  <c r="E107" i="6" s="1"/>
  <c r="G107" i="6" s="1"/>
  <c r="H107" i="6" s="1"/>
  <c r="B108" i="6" s="1"/>
  <c r="F108" i="6" l="1"/>
  <c r="D108" i="6"/>
  <c r="E108" i="6" s="1"/>
  <c r="G108" i="6" s="1"/>
  <c r="H108" i="6" s="1"/>
  <c r="B109" i="6" s="1"/>
  <c r="F109" i="6" l="1"/>
  <c r="D109" i="6"/>
  <c r="E109" i="6" s="1"/>
  <c r="G109" i="6" s="1"/>
  <c r="H109" i="6" s="1"/>
  <c r="B110" i="6" s="1"/>
  <c r="F110" i="6" l="1"/>
  <c r="D110" i="6"/>
  <c r="E110" i="6" s="1"/>
  <c r="G110" i="6" s="1"/>
  <c r="H110" i="6" s="1"/>
  <c r="B111" i="6" s="1"/>
  <c r="F111" i="6" l="1"/>
  <c r="D111" i="6"/>
  <c r="E111" i="6" s="1"/>
  <c r="G111" i="6" s="1"/>
  <c r="H111" i="6" s="1"/>
  <c r="B112" i="6" s="1"/>
  <c r="F112" i="6" l="1"/>
  <c r="D112" i="6"/>
  <c r="E112" i="6" s="1"/>
  <c r="G112" i="6" s="1"/>
  <c r="H112" i="6" s="1"/>
  <c r="B113" i="6" s="1"/>
  <c r="F113" i="6" l="1"/>
  <c r="D113" i="6"/>
  <c r="E113" i="6" s="1"/>
  <c r="G113" i="6" l="1"/>
  <c r="H113" i="6" s="1"/>
  <c r="B114" i="6" s="1"/>
  <c r="F114" i="6"/>
  <c r="D114" i="6"/>
  <c r="E114" i="6" s="1"/>
  <c r="G114" i="6" s="1"/>
  <c r="H114" i="6" s="1"/>
  <c r="B115" i="6" s="1"/>
  <c r="F115" i="6" l="1"/>
  <c r="D115" i="6"/>
  <c r="E115" i="6" s="1"/>
  <c r="G115" i="6" s="1"/>
  <c r="H115" i="6" s="1"/>
  <c r="B116" i="6" s="1"/>
  <c r="F116" i="6" l="1"/>
  <c r="D116" i="6"/>
  <c r="E116" i="6" s="1"/>
  <c r="G116" i="6" s="1"/>
  <c r="H116" i="6" s="1"/>
  <c r="B117" i="6" s="1"/>
  <c r="F117" i="6" l="1"/>
  <c r="D117" i="6"/>
  <c r="E117" i="6" s="1"/>
  <c r="G117" i="6" s="1"/>
  <c r="H117" i="6" s="1"/>
  <c r="B118" i="6" s="1"/>
  <c r="F118" i="6" l="1"/>
  <c r="D118" i="6"/>
  <c r="E118" i="6" s="1"/>
  <c r="G118" i="6" s="1"/>
  <c r="H118" i="6" s="1"/>
  <c r="B119" i="6" s="1"/>
  <c r="F119" i="6" l="1"/>
  <c r="D119" i="6"/>
  <c r="E119" i="6" s="1"/>
  <c r="G119" i="6" s="1"/>
  <c r="H119" i="6" s="1"/>
  <c r="B120" i="6" s="1"/>
  <c r="F120" i="6" l="1"/>
  <c r="D120" i="6"/>
  <c r="E120" i="6" s="1"/>
  <c r="G120" i="6" s="1"/>
  <c r="H120" i="6" s="1"/>
  <c r="B121" i="6" s="1"/>
  <c r="F121" i="6" l="1"/>
  <c r="D121" i="6"/>
  <c r="E121" i="6" s="1"/>
  <c r="G121" i="6" s="1"/>
  <c r="H121" i="6" s="1"/>
  <c r="B122" i="6" s="1"/>
  <c r="F122" i="6" l="1"/>
  <c r="D122" i="6"/>
  <c r="E122" i="6" s="1"/>
  <c r="G122" i="6" l="1"/>
  <c r="H122" i="6" s="1"/>
  <c r="B123" i="6" s="1"/>
  <c r="D123" i="6" s="1"/>
  <c r="E123" i="6" s="1"/>
  <c r="G123" i="6" l="1"/>
  <c r="H123" i="6" s="1"/>
  <c r="B124" i="6" s="1"/>
  <c r="F124" i="6" s="1"/>
  <c r="F123" i="6"/>
  <c r="D124" i="6" l="1"/>
  <c r="E124" i="6" s="1"/>
  <c r="G124" i="6" s="1"/>
  <c r="H124" i="6" s="1"/>
  <c r="B125" i="6" s="1"/>
  <c r="F125" i="6"/>
  <c r="D125" i="6"/>
  <c r="E125" i="6" s="1"/>
  <c r="G125" i="6" s="1"/>
  <c r="H125" i="6" s="1"/>
  <c r="B126" i="6" s="1"/>
  <c r="F126" i="6" l="1"/>
  <c r="D126" i="6"/>
  <c r="E126" i="6" s="1"/>
  <c r="G126" i="6" s="1"/>
  <c r="H126" i="6" s="1"/>
  <c r="B127" i="6" s="1"/>
  <c r="F127" i="6" l="1"/>
  <c r="D127" i="6"/>
  <c r="E127" i="6" s="1"/>
  <c r="G127" i="6" l="1"/>
  <c r="H127" i="6" s="1"/>
  <c r="B128" i="6" s="1"/>
  <c r="F128" i="6" s="1"/>
  <c r="D128" i="6" l="1"/>
  <c r="E128" i="6" s="1"/>
  <c r="G128" i="6" s="1"/>
  <c r="H128" i="6" s="1"/>
  <c r="B129" i="6" s="1"/>
  <c r="F129" i="6" s="1"/>
  <c r="D129" i="6" l="1"/>
  <c r="E129" i="6" s="1"/>
  <c r="G129" i="6" s="1"/>
  <c r="H129" i="6" s="1"/>
  <c r="B130" i="6" s="1"/>
  <c r="F130" i="6"/>
  <c r="D130" i="6"/>
  <c r="E130" i="6" s="1"/>
  <c r="G130" i="6" s="1"/>
  <c r="H130" i="6" s="1"/>
  <c r="B131" i="6" s="1"/>
  <c r="F131" i="6" l="1"/>
  <c r="D131" i="6"/>
  <c r="E131" i="6" s="1"/>
  <c r="G131" i="6" s="1"/>
  <c r="H131" i="6" s="1"/>
  <c r="B132" i="6" s="1"/>
  <c r="F132" i="6" l="1"/>
  <c r="D132" i="6"/>
  <c r="E132" i="6" s="1"/>
  <c r="G132" i="6" s="1"/>
  <c r="H132" i="6" s="1"/>
  <c r="B133" i="6" s="1"/>
  <c r="F133" i="6" l="1"/>
  <c r="D133" i="6"/>
  <c r="E133" i="6" s="1"/>
  <c r="G133" i="6" s="1"/>
  <c r="H133" i="6" s="1"/>
  <c r="B134" i="6" s="1"/>
  <c r="F134" i="6" l="1"/>
  <c r="D134" i="6"/>
  <c r="E134" i="6" s="1"/>
  <c r="G134" i="6" l="1"/>
  <c r="H134" i="6" s="1"/>
  <c r="B135" i="6" s="1"/>
  <c r="F135" i="6" s="1"/>
  <c r="D135" i="6" l="1"/>
  <c r="E135" i="6" s="1"/>
  <c r="G135" i="6" s="1"/>
  <c r="H135" i="6" s="1"/>
  <c r="B136" i="6" s="1"/>
  <c r="F136" i="6" s="1"/>
  <c r="D136" i="6" l="1"/>
  <c r="E136" i="6" s="1"/>
  <c r="G136" i="6" s="1"/>
  <c r="H136" i="6" s="1"/>
  <c r="B137" i="6" s="1"/>
  <c r="F137" i="6"/>
  <c r="D137" i="6"/>
  <c r="E137" i="6" s="1"/>
  <c r="G137" i="6" s="1"/>
  <c r="H137" i="6" s="1"/>
  <c r="B138" i="6" s="1"/>
  <c r="F138" i="6" l="1"/>
  <c r="D138" i="6"/>
  <c r="E138" i="6" s="1"/>
  <c r="G138" i="6" s="1"/>
  <c r="H138" i="6" s="1"/>
  <c r="B139" i="6" s="1"/>
  <c r="F139" i="6" l="1"/>
  <c r="D139" i="6"/>
  <c r="E139" i="6" s="1"/>
  <c r="G139" i="6" s="1"/>
  <c r="H139" i="6" s="1"/>
  <c r="B140" i="6" s="1"/>
  <c r="F140" i="6" l="1"/>
  <c r="D140" i="6"/>
  <c r="E140" i="6" s="1"/>
  <c r="G140" i="6" s="1"/>
  <c r="H140" i="6" s="1"/>
  <c r="B141" i="6" s="1"/>
  <c r="F141" i="6" l="1"/>
  <c r="D141" i="6"/>
  <c r="E141" i="6" s="1"/>
  <c r="G141" i="6" s="1"/>
  <c r="H141" i="6" s="1"/>
  <c r="B142" i="6" s="1"/>
  <c r="F142" i="6" l="1"/>
  <c r="D142" i="6"/>
  <c r="E142" i="6" s="1"/>
  <c r="G142" i="6" s="1"/>
  <c r="H142" i="6" s="1"/>
  <c r="B143" i="6" s="1"/>
  <c r="F143" i="6" l="1"/>
  <c r="D143" i="6"/>
  <c r="E143" i="6" s="1"/>
  <c r="G143" i="6" s="1"/>
  <c r="H143" i="6" s="1"/>
  <c r="B144" i="6" s="1"/>
  <c r="F144" i="6" l="1"/>
  <c r="D144" i="6"/>
  <c r="E144" i="6" s="1"/>
  <c r="G144" i="6" s="1"/>
  <c r="H144" i="6" s="1"/>
  <c r="B145" i="6" s="1"/>
  <c r="F145" i="6" l="1"/>
  <c r="D145" i="6"/>
  <c r="E145" i="6" s="1"/>
  <c r="G145" i="6" s="1"/>
  <c r="H145" i="6" s="1"/>
  <c r="B146" i="6" s="1"/>
  <c r="F146" i="6" l="1"/>
  <c r="D146" i="6"/>
  <c r="E146" i="6" s="1"/>
  <c r="G146" i="6" l="1"/>
  <c r="H146" i="6" s="1"/>
  <c r="B147" i="6" s="1"/>
  <c r="F147" i="6" s="1"/>
  <c r="D147" i="6" l="1"/>
  <c r="E147" i="6" s="1"/>
  <c r="G147" i="6" s="1"/>
  <c r="H147" i="6" s="1"/>
  <c r="B148" i="6" s="1"/>
  <c r="F148" i="6" s="1"/>
  <c r="D148" i="6" l="1"/>
  <c r="E148" i="6" s="1"/>
  <c r="G148" i="6" s="1"/>
  <c r="H148" i="6" s="1"/>
  <c r="B149" i="6" s="1"/>
  <c r="F149" i="6" s="1"/>
  <c r="D149" i="6" l="1"/>
  <c r="E149" i="6" s="1"/>
  <c r="G149" i="6" s="1"/>
  <c r="H149" i="6" s="1"/>
  <c r="B150" i="6" s="1"/>
  <c r="F150" i="6" s="1"/>
  <c r="D150" i="6"/>
  <c r="E150" i="6" s="1"/>
  <c r="G150" i="6" l="1"/>
  <c r="H150" i="6" s="1"/>
  <c r="B151" i="6" s="1"/>
  <c r="D151" i="6" s="1"/>
  <c r="E151" i="6" s="1"/>
  <c r="F151" i="6" l="1"/>
  <c r="G151" i="6" s="1"/>
  <c r="H151" i="6" s="1"/>
  <c r="B152" i="6" s="1"/>
  <c r="F152" i="6" l="1"/>
  <c r="D152" i="6"/>
  <c r="E152" i="6" s="1"/>
  <c r="G152" i="6" s="1"/>
  <c r="H152" i="6" s="1"/>
  <c r="B153" i="6" s="1"/>
  <c r="F153" i="6" s="1"/>
  <c r="D153" i="6" l="1"/>
  <c r="E153" i="6" s="1"/>
  <c r="G153" i="6" s="1"/>
  <c r="H153" i="6" s="1"/>
  <c r="B154" i="6" s="1"/>
  <c r="F154" i="6" s="1"/>
  <c r="D154" i="6" l="1"/>
  <c r="E154" i="6" s="1"/>
  <c r="G154" i="6" s="1"/>
  <c r="H154" i="6" s="1"/>
  <c r="B155" i="6" s="1"/>
  <c r="F155" i="6" s="1"/>
  <c r="D155" i="6" l="1"/>
  <c r="E155" i="6" s="1"/>
  <c r="G155" i="6" s="1"/>
  <c r="H155" i="6" s="1"/>
  <c r="B156" i="6" s="1"/>
  <c r="F156" i="6" s="1"/>
  <c r="D156" i="6" l="1"/>
  <c r="E156" i="6" s="1"/>
  <c r="G156" i="6" s="1"/>
  <c r="H156" i="6" s="1"/>
  <c r="B157" i="6" s="1"/>
  <c r="F157" i="6" s="1"/>
  <c r="D157" i="6" l="1"/>
  <c r="E157" i="6" s="1"/>
  <c r="G157" i="6" s="1"/>
  <c r="H157" i="6" s="1"/>
  <c r="B158" i="6" s="1"/>
  <c r="F158" i="6" s="1"/>
  <c r="D158" i="6" l="1"/>
  <c r="E158" i="6" s="1"/>
  <c r="G158" i="6" s="1"/>
  <c r="H158" i="6" s="1"/>
  <c r="B159" i="6" s="1"/>
  <c r="F159" i="6" s="1"/>
  <c r="D159" i="6" l="1"/>
  <c r="E159" i="6" s="1"/>
  <c r="G159" i="6" s="1"/>
  <c r="H159" i="6" s="1"/>
  <c r="B160" i="6" s="1"/>
  <c r="F160" i="6" s="1"/>
  <c r="D160" i="6" l="1"/>
  <c r="E160" i="6" s="1"/>
  <c r="G160" i="6" s="1"/>
  <c r="H160" i="6" s="1"/>
  <c r="B161" i="6" s="1"/>
  <c r="F161" i="6" s="1"/>
  <c r="D161" i="6" l="1"/>
  <c r="E161" i="6" s="1"/>
  <c r="G161" i="6" s="1"/>
  <c r="H161" i="6" s="1"/>
  <c r="B162" i="6" s="1"/>
  <c r="F162" i="6" s="1"/>
  <c r="D162" i="6" l="1"/>
  <c r="E162" i="6" s="1"/>
  <c r="G162" i="6" s="1"/>
  <c r="H162" i="6" s="1"/>
  <c r="B163" i="6" s="1"/>
  <c r="F163" i="6"/>
  <c r="D163" i="6"/>
  <c r="E163" i="6" s="1"/>
  <c r="G163" i="6" s="1"/>
  <c r="H163" i="6" s="1"/>
  <c r="B164" i="6" s="1"/>
  <c r="F164" i="6" l="1"/>
  <c r="D164" i="6"/>
  <c r="E164" i="6" s="1"/>
  <c r="G164" i="6" s="1"/>
  <c r="H164" i="6" s="1"/>
  <c r="B165" i="6" s="1"/>
  <c r="F165" i="6" l="1"/>
  <c r="D165" i="6"/>
  <c r="E165" i="6" s="1"/>
  <c r="G165" i="6" s="1"/>
  <c r="H165" i="6" s="1"/>
  <c r="B166" i="6" s="1"/>
  <c r="F166" i="6" l="1"/>
  <c r="D166" i="6"/>
  <c r="E166" i="6" s="1"/>
  <c r="G166" i="6" s="1"/>
  <c r="H166" i="6" s="1"/>
  <c r="B167" i="6" s="1"/>
  <c r="F167" i="6" l="1"/>
  <c r="D167" i="6"/>
  <c r="E167" i="6" s="1"/>
  <c r="G167" i="6" s="1"/>
  <c r="H167" i="6" s="1"/>
  <c r="B168" i="6" s="1"/>
  <c r="F168" i="6" l="1"/>
  <c r="D168" i="6"/>
  <c r="E168" i="6" s="1"/>
  <c r="G168" i="6" s="1"/>
  <c r="H168" i="6" s="1"/>
  <c r="B169" i="6" s="1"/>
  <c r="F169" i="6" l="1"/>
  <c r="D169" i="6"/>
  <c r="E169" i="6" s="1"/>
  <c r="G169" i="6" s="1"/>
  <c r="H169" i="6" s="1"/>
  <c r="B170" i="6" s="1"/>
  <c r="F170" i="6" l="1"/>
  <c r="D170" i="6"/>
  <c r="E170" i="6" s="1"/>
  <c r="G170" i="6" s="1"/>
  <c r="H170" i="6" s="1"/>
  <c r="B171" i="6" s="1"/>
  <c r="F171" i="6" l="1"/>
  <c r="D171" i="6"/>
  <c r="E171" i="6" s="1"/>
  <c r="G171" i="6" s="1"/>
  <c r="H171" i="6" s="1"/>
  <c r="B172" i="6" s="1"/>
  <c r="F172" i="6" l="1"/>
  <c r="D172" i="6"/>
  <c r="E172" i="6" s="1"/>
  <c r="G172" i="6" s="1"/>
  <c r="H172" i="6" s="1"/>
  <c r="B173" i="6" s="1"/>
  <c r="F173" i="6" l="1"/>
  <c r="D173" i="6"/>
  <c r="E173" i="6" s="1"/>
  <c r="G173" i="6" s="1"/>
  <c r="H173" i="6" s="1"/>
  <c r="B174" i="6" s="1"/>
  <c r="F174" i="6" l="1"/>
  <c r="D174" i="6"/>
  <c r="E174" i="6" s="1"/>
  <c r="G174" i="6" s="1"/>
  <c r="H174" i="6" s="1"/>
  <c r="B175" i="6" s="1"/>
  <c r="F175" i="6" l="1"/>
  <c r="D175" i="6"/>
  <c r="E175" i="6" s="1"/>
  <c r="G175" i="6" s="1"/>
  <c r="H175" i="6" s="1"/>
  <c r="B176" i="6" s="1"/>
  <c r="F176" i="6" l="1"/>
  <c r="D176" i="6"/>
  <c r="E176" i="6" s="1"/>
  <c r="G176" i="6" s="1"/>
  <c r="H176" i="6" s="1"/>
  <c r="B177" i="6" s="1"/>
  <c r="F177" i="6" l="1"/>
  <c r="D177" i="6"/>
  <c r="E177" i="6" s="1"/>
  <c r="G177" i="6" s="1"/>
  <c r="H177" i="6" s="1"/>
  <c r="B178" i="6" s="1"/>
  <c r="F178" i="6" l="1"/>
  <c r="D178" i="6"/>
  <c r="E178" i="6" s="1"/>
  <c r="G178" i="6" s="1"/>
  <c r="H178" i="6" s="1"/>
  <c r="B179" i="6" s="1"/>
  <c r="F179" i="6" l="1"/>
  <c r="D179" i="6"/>
  <c r="E179" i="6" s="1"/>
  <c r="G179" i="6" s="1"/>
  <c r="H179" i="6" s="1"/>
  <c r="B180" i="6" s="1"/>
  <c r="F180" i="6" l="1"/>
  <c r="D180" i="6"/>
  <c r="E180" i="6" s="1"/>
  <c r="G180" i="6" s="1"/>
  <c r="H180" i="6" s="1"/>
  <c r="B181" i="6" s="1"/>
  <c r="F181" i="6" l="1"/>
  <c r="D181" i="6"/>
  <c r="E181" i="6" s="1"/>
  <c r="G181" i="6" s="1"/>
  <c r="H181" i="6" s="1"/>
  <c r="B182" i="6" s="1"/>
  <c r="F182" i="6" l="1"/>
  <c r="D182" i="6"/>
  <c r="E182" i="6" s="1"/>
  <c r="G182" i="6" s="1"/>
  <c r="H182" i="6" s="1"/>
  <c r="B183" i="6" s="1"/>
  <c r="F183" i="6" l="1"/>
  <c r="D183" i="6"/>
  <c r="E183" i="6" s="1"/>
  <c r="G183" i="6" s="1"/>
  <c r="H183" i="6" s="1"/>
  <c r="B184" i="6" s="1"/>
  <c r="F184" i="6" l="1"/>
  <c r="D184" i="6"/>
  <c r="E184" i="6" s="1"/>
  <c r="G184" i="6" s="1"/>
  <c r="H184" i="6" s="1"/>
  <c r="B185" i="6" s="1"/>
  <c r="F185" i="6" l="1"/>
  <c r="D185" i="6"/>
  <c r="E185" i="6" s="1"/>
  <c r="G185" i="6" s="1"/>
  <c r="H185" i="6" s="1"/>
  <c r="B186" i="6" s="1"/>
  <c r="F186" i="6" l="1"/>
  <c r="D186" i="6"/>
  <c r="E186" i="6" s="1"/>
  <c r="G186" i="6" s="1"/>
  <c r="H186" i="6" s="1"/>
  <c r="B187" i="6" s="1"/>
  <c r="F187" i="6" l="1"/>
  <c r="D187" i="6"/>
  <c r="E187" i="6" s="1"/>
  <c r="G187" i="6" s="1"/>
  <c r="H187" i="6" s="1"/>
  <c r="B188" i="6" s="1"/>
  <c r="F188" i="6" l="1"/>
  <c r="D188" i="6"/>
  <c r="E188" i="6" s="1"/>
  <c r="G188" i="6" s="1"/>
  <c r="H188" i="6" s="1"/>
  <c r="B189" i="6" s="1"/>
  <c r="F189" i="6" l="1"/>
  <c r="D189" i="6"/>
  <c r="E189" i="6" s="1"/>
  <c r="G189" i="6" s="1"/>
  <c r="H189" i="6" s="1"/>
  <c r="B190" i="6" s="1"/>
  <c r="F190" i="6" l="1"/>
  <c r="D190" i="6"/>
  <c r="E190" i="6" s="1"/>
  <c r="G190" i="6" s="1"/>
  <c r="H190" i="6" s="1"/>
  <c r="B191" i="6" s="1"/>
  <c r="F191" i="6" l="1"/>
  <c r="D191" i="6"/>
  <c r="E191" i="6" s="1"/>
  <c r="G191" i="6" s="1"/>
  <c r="H191" i="6" s="1"/>
  <c r="B192" i="6" s="1"/>
  <c r="F192" i="6" l="1"/>
  <c r="D192" i="6"/>
  <c r="E192" i="6" s="1"/>
  <c r="G192" i="6" s="1"/>
  <c r="H192" i="6" s="1"/>
  <c r="B193" i="6" s="1"/>
  <c r="F193" i="6" l="1"/>
  <c r="D193" i="6"/>
  <c r="E193" i="6" s="1"/>
  <c r="G193" i="6" s="1"/>
  <c r="H193" i="6" s="1"/>
  <c r="B194" i="6" s="1"/>
  <c r="F194" i="6" l="1"/>
  <c r="D194" i="6"/>
  <c r="E194" i="6" s="1"/>
  <c r="G194" i="6" s="1"/>
  <c r="H194" i="6" s="1"/>
  <c r="B195" i="6" s="1"/>
  <c r="F195" i="6" l="1"/>
  <c r="D195" i="6"/>
  <c r="E195" i="6" s="1"/>
  <c r="G195" i="6" s="1"/>
  <c r="H195" i="6" s="1"/>
  <c r="B196" i="6" s="1"/>
  <c r="F196" i="6" l="1"/>
  <c r="D196" i="6"/>
  <c r="E196" i="6" s="1"/>
  <c r="G196" i="6" s="1"/>
  <c r="H196" i="6" s="1"/>
  <c r="B197" i="6" s="1"/>
  <c r="F197" i="6" l="1"/>
  <c r="D197" i="6"/>
  <c r="E197" i="6" s="1"/>
  <c r="G197" i="6" s="1"/>
  <c r="H197" i="6" s="1"/>
  <c r="B198" i="6" s="1"/>
  <c r="F198" i="6" l="1"/>
  <c r="D198" i="6"/>
  <c r="E198" i="6" s="1"/>
  <c r="G198" i="6" s="1"/>
  <c r="H198" i="6" s="1"/>
  <c r="B199" i="6" s="1"/>
  <c r="F199" i="6" l="1"/>
  <c r="D199" i="6"/>
  <c r="E199" i="6" s="1"/>
  <c r="G199" i="6" s="1"/>
  <c r="H199" i="6" s="1"/>
  <c r="B200" i="6" s="1"/>
  <c r="F200" i="6" l="1"/>
  <c r="D200" i="6"/>
  <c r="E200" i="6" s="1"/>
  <c r="G200" i="6" s="1"/>
  <c r="H200" i="6" s="1"/>
  <c r="B201" i="6" s="1"/>
  <c r="F201" i="6" l="1"/>
  <c r="D201" i="6"/>
  <c r="E201" i="6" s="1"/>
  <c r="G201" i="6" s="1"/>
  <c r="H201" i="6" s="1"/>
  <c r="B202" i="6" s="1"/>
  <c r="F202" i="6" l="1"/>
  <c r="D202" i="6"/>
  <c r="E202" i="6" s="1"/>
  <c r="G202" i="6" s="1"/>
  <c r="H202" i="6" s="1"/>
  <c r="B203" i="6" s="1"/>
  <c r="F203" i="6" l="1"/>
  <c r="D203" i="6"/>
  <c r="E203" i="6" s="1"/>
  <c r="G203" i="6" s="1"/>
  <c r="H203" i="6" s="1"/>
  <c r="B204" i="6" s="1"/>
  <c r="F204" i="6" l="1"/>
  <c r="D204" i="6"/>
  <c r="E204" i="6" s="1"/>
  <c r="G204" i="6" s="1"/>
  <c r="H204" i="6" s="1"/>
  <c r="B205" i="6" s="1"/>
  <c r="F205" i="6" l="1"/>
  <c r="D205" i="6"/>
  <c r="E205" i="6" s="1"/>
  <c r="G205" i="6" s="1"/>
  <c r="H205" i="6" s="1"/>
  <c r="B206" i="6" s="1"/>
  <c r="F206" i="6" l="1"/>
  <c r="D206" i="6"/>
  <c r="E206" i="6" s="1"/>
  <c r="G206" i="6" s="1"/>
  <c r="H206" i="6" s="1"/>
  <c r="B207" i="6" s="1"/>
  <c r="F207" i="6" l="1"/>
  <c r="D207" i="6"/>
  <c r="E207" i="6" s="1"/>
  <c r="G207" i="6" s="1"/>
  <c r="H207" i="6" s="1"/>
  <c r="B208" i="6" s="1"/>
  <c r="F208" i="6" l="1"/>
  <c r="D208" i="6"/>
  <c r="E208" i="6" s="1"/>
  <c r="G208" i="6" s="1"/>
  <c r="H208" i="6" s="1"/>
  <c r="B209" i="6" s="1"/>
  <c r="F209" i="6" l="1"/>
  <c r="D209" i="6"/>
  <c r="E209" i="6" s="1"/>
  <c r="G209" i="6" s="1"/>
  <c r="H209" i="6" s="1"/>
  <c r="B210" i="6" s="1"/>
  <c r="F210" i="6" l="1"/>
  <c r="D210" i="6"/>
  <c r="E210" i="6" s="1"/>
  <c r="G210" i="6" s="1"/>
  <c r="H210" i="6" s="1"/>
  <c r="B211" i="6" s="1"/>
  <c r="F211" i="6" l="1"/>
  <c r="D211" i="6"/>
  <c r="E211" i="6" s="1"/>
  <c r="G211" i="6" s="1"/>
  <c r="H211" i="6" s="1"/>
  <c r="B212" i="6" s="1"/>
  <c r="F212" i="6" l="1"/>
  <c r="D212" i="6"/>
  <c r="E212" i="6" s="1"/>
  <c r="G212" i="6" s="1"/>
  <c r="H212" i="6" s="1"/>
  <c r="B213" i="6" s="1"/>
  <c r="F213" i="6" l="1"/>
  <c r="D213" i="6"/>
  <c r="E213" i="6" s="1"/>
  <c r="G213" i="6" s="1"/>
  <c r="H213" i="6" s="1"/>
  <c r="B214" i="6" s="1"/>
  <c r="F214" i="6" l="1"/>
  <c r="D214" i="6"/>
  <c r="E214" i="6" s="1"/>
  <c r="G214" i="6" s="1"/>
  <c r="H214" i="6" s="1"/>
  <c r="B215" i="6" s="1"/>
  <c r="F215" i="6" l="1"/>
  <c r="D215" i="6"/>
  <c r="E215" i="6" s="1"/>
  <c r="G215" i="6" s="1"/>
  <c r="H215" i="6" s="1"/>
  <c r="B216" i="6" s="1"/>
  <c r="F216" i="6" l="1"/>
  <c r="D216" i="6"/>
  <c r="E216" i="6" s="1"/>
  <c r="G216" i="6" s="1"/>
  <c r="H216" i="6" s="1"/>
  <c r="B217" i="6" s="1"/>
  <c r="F217" i="6" l="1"/>
  <c r="D217" i="6"/>
  <c r="E217" i="6" s="1"/>
  <c r="G217" i="6" s="1"/>
  <c r="H217" i="6" s="1"/>
  <c r="B218" i="6" s="1"/>
  <c r="F218" i="6" l="1"/>
  <c r="D218" i="6"/>
  <c r="E218" i="6" s="1"/>
  <c r="G218" i="6" s="1"/>
  <c r="H218" i="6" s="1"/>
  <c r="B219" i="6" s="1"/>
  <c r="F219" i="6" l="1"/>
  <c r="D219" i="6"/>
  <c r="E219" i="6" s="1"/>
  <c r="G219" i="6" s="1"/>
  <c r="H219" i="6" s="1"/>
  <c r="B220" i="6" s="1"/>
  <c r="F220" i="6" l="1"/>
  <c r="D220" i="6"/>
  <c r="E220" i="6" s="1"/>
  <c r="G220" i="6" s="1"/>
  <c r="H220" i="6" s="1"/>
  <c r="B221" i="6" s="1"/>
  <c r="F221" i="6" l="1"/>
  <c r="D221" i="6"/>
  <c r="E221" i="6" s="1"/>
  <c r="G221" i="6" s="1"/>
  <c r="H221" i="6" s="1"/>
  <c r="B222" i="6" s="1"/>
  <c r="F222" i="6" l="1"/>
  <c r="D222" i="6"/>
  <c r="E222" i="6" s="1"/>
  <c r="G222" i="6" s="1"/>
  <c r="H222" i="6" s="1"/>
  <c r="B223" i="6" s="1"/>
  <c r="F223" i="6" l="1"/>
  <c r="D223" i="6"/>
  <c r="E223" i="6" s="1"/>
  <c r="G223" i="6" s="1"/>
  <c r="H223" i="6" s="1"/>
  <c r="B224" i="6" s="1"/>
  <c r="F224" i="6" l="1"/>
  <c r="D224" i="6"/>
  <c r="E224" i="6" s="1"/>
  <c r="G224" i="6" s="1"/>
  <c r="H224" i="6" s="1"/>
  <c r="B225" i="6" s="1"/>
  <c r="F225" i="6" l="1"/>
  <c r="D225" i="6"/>
  <c r="E225" i="6" s="1"/>
  <c r="G225" i="6" s="1"/>
  <c r="H225" i="6" s="1"/>
  <c r="B226" i="6" s="1"/>
  <c r="F226" i="6" l="1"/>
  <c r="D226" i="6"/>
  <c r="E226" i="6" s="1"/>
  <c r="G226" i="6" s="1"/>
  <c r="H226" i="6" s="1"/>
  <c r="B227" i="6" s="1"/>
  <c r="F227" i="6" l="1"/>
  <c r="D227" i="6"/>
  <c r="E227" i="6" s="1"/>
  <c r="G227" i="6" s="1"/>
  <c r="H227" i="6" s="1"/>
  <c r="B228" i="6" s="1"/>
  <c r="F228" i="6" l="1"/>
  <c r="D228" i="6"/>
  <c r="E228" i="6" s="1"/>
  <c r="G228" i="6" s="1"/>
  <c r="H228" i="6" s="1"/>
  <c r="B229" i="6" s="1"/>
  <c r="F229" i="6" l="1"/>
  <c r="D229" i="6"/>
  <c r="E229" i="6" s="1"/>
  <c r="G229" i="6" s="1"/>
  <c r="H229" i="6" s="1"/>
  <c r="B230" i="6" s="1"/>
  <c r="F230" i="6" l="1"/>
  <c r="D230" i="6"/>
  <c r="E230" i="6" s="1"/>
  <c r="G230" i="6" s="1"/>
  <c r="H230" i="6" s="1"/>
  <c r="B231" i="6" s="1"/>
  <c r="F231" i="6" l="1"/>
  <c r="D231" i="6"/>
  <c r="E231" i="6" s="1"/>
  <c r="G231" i="6" s="1"/>
  <c r="H231" i="6" s="1"/>
  <c r="B232" i="6" s="1"/>
  <c r="F232" i="6" l="1"/>
  <c r="D232" i="6"/>
  <c r="E232" i="6" s="1"/>
  <c r="G232" i="6" s="1"/>
  <c r="H232" i="6" s="1"/>
  <c r="B233" i="6" s="1"/>
  <c r="F233" i="6" l="1"/>
  <c r="D233" i="6"/>
  <c r="E233" i="6" s="1"/>
  <c r="G233" i="6" s="1"/>
  <c r="H233" i="6" s="1"/>
  <c r="B234" i="6" s="1"/>
  <c r="F234" i="6" l="1"/>
  <c r="D234" i="6"/>
  <c r="E234" i="6" s="1"/>
  <c r="G234" i="6" s="1"/>
  <c r="H234" i="6" s="1"/>
  <c r="B235" i="6" s="1"/>
  <c r="F235" i="6" l="1"/>
  <c r="D235" i="6"/>
  <c r="E235" i="6" s="1"/>
  <c r="G235" i="6" s="1"/>
  <c r="H235" i="6" s="1"/>
  <c r="B236" i="6" s="1"/>
  <c r="F236" i="6" l="1"/>
  <c r="D236" i="6"/>
  <c r="E236" i="6" s="1"/>
  <c r="G236" i="6" s="1"/>
  <c r="H236" i="6" s="1"/>
  <c r="B237" i="6" s="1"/>
  <c r="F237" i="6" l="1"/>
  <c r="D237" i="6"/>
  <c r="E237" i="6" s="1"/>
  <c r="G237" i="6" s="1"/>
  <c r="H237" i="6" s="1"/>
  <c r="B238" i="6" s="1"/>
  <c r="F238" i="6" l="1"/>
  <c r="D238" i="6"/>
  <c r="E238" i="6" s="1"/>
  <c r="G238" i="6" s="1"/>
  <c r="H238" i="6" s="1"/>
  <c r="B239" i="6" s="1"/>
  <c r="F239" i="6" l="1"/>
  <c r="D239" i="6"/>
  <c r="E239" i="6" s="1"/>
  <c r="G239" i="6" s="1"/>
  <c r="H239" i="6" s="1"/>
  <c r="B240" i="6" s="1"/>
  <c r="F240" i="6" l="1"/>
  <c r="D240" i="6"/>
  <c r="E240" i="6" s="1"/>
  <c r="G240" i="6" s="1"/>
  <c r="H240" i="6" s="1"/>
  <c r="B241" i="6" s="1"/>
  <c r="F241" i="6" l="1"/>
  <c r="D241" i="6"/>
  <c r="E241" i="6" s="1"/>
  <c r="G241" i="6" s="1"/>
  <c r="H241" i="6" s="1"/>
  <c r="B242" i="6" s="1"/>
  <c r="F242" i="6" l="1"/>
  <c r="D242" i="6"/>
  <c r="E242" i="6" s="1"/>
  <c r="G242" i="6" s="1"/>
  <c r="H242" i="6" s="1"/>
  <c r="B243" i="6" s="1"/>
  <c r="F243" i="6" l="1"/>
  <c r="D243" i="6"/>
  <c r="E243" i="6" s="1"/>
  <c r="G243" i="6" s="1"/>
  <c r="H243" i="6" s="1"/>
  <c r="B244" i="6" s="1"/>
  <c r="F244" i="6" l="1"/>
  <c r="D244" i="6"/>
  <c r="E244" i="6" s="1"/>
  <c r="G244" i="6" s="1"/>
  <c r="H244" i="6" s="1"/>
  <c r="B245" i="6" s="1"/>
  <c r="F245" i="6" l="1"/>
  <c r="D245" i="6"/>
  <c r="E245" i="6" s="1"/>
  <c r="G245" i="6" s="1"/>
  <c r="H245" i="6" s="1"/>
  <c r="B246" i="6" s="1"/>
  <c r="F246" i="6" l="1"/>
  <c r="D246" i="6"/>
  <c r="E246" i="6" s="1"/>
  <c r="G246" i="6" s="1"/>
  <c r="H246" i="6" s="1"/>
  <c r="B247" i="6" s="1"/>
  <c r="F247" i="6" l="1"/>
  <c r="D247" i="6"/>
  <c r="E247" i="6" s="1"/>
  <c r="G247" i="6" s="1"/>
  <c r="H247" i="6" s="1"/>
  <c r="B248" i="6" s="1"/>
  <c r="F248" i="6" l="1"/>
  <c r="D248" i="6"/>
  <c r="E248" i="6" s="1"/>
  <c r="G248" i="6" s="1"/>
  <c r="H248" i="6" s="1"/>
  <c r="B249" i="6" s="1"/>
  <c r="F249" i="6" l="1"/>
  <c r="D249" i="6"/>
  <c r="E249" i="6" s="1"/>
  <c r="G249" i="6" s="1"/>
  <c r="H249" i="6" s="1"/>
  <c r="B250" i="6" s="1"/>
  <c r="F250" i="6" l="1"/>
  <c r="D250" i="6"/>
  <c r="E250" i="6" s="1"/>
  <c r="G250" i="6" s="1"/>
  <c r="H250" i="6" s="1"/>
  <c r="B251" i="6" s="1"/>
  <c r="F251" i="6" l="1"/>
  <c r="D251" i="6"/>
  <c r="E251" i="6" s="1"/>
  <c r="G251" i="6" s="1"/>
  <c r="H251" i="6" s="1"/>
  <c r="B252" i="6" s="1"/>
  <c r="F252" i="6" l="1"/>
  <c r="D252" i="6"/>
  <c r="E252" i="6" s="1"/>
  <c r="G252" i="6" s="1"/>
  <c r="H252" i="6" s="1"/>
  <c r="B253" i="6" s="1"/>
  <c r="F253" i="6" l="1"/>
  <c r="D253" i="6"/>
  <c r="E253" i="6" s="1"/>
  <c r="G253" i="6" s="1"/>
  <c r="H253" i="6" s="1"/>
  <c r="B254" i="6" s="1"/>
  <c r="F254" i="6" l="1"/>
  <c r="D254" i="6"/>
  <c r="E254" i="6" s="1"/>
  <c r="G254" i="6" s="1"/>
  <c r="H254" i="6" s="1"/>
  <c r="B255" i="6" s="1"/>
  <c r="F255" i="6" l="1"/>
  <c r="D255" i="6"/>
  <c r="E255" i="6" s="1"/>
  <c r="G255" i="6" l="1"/>
  <c r="H255" i="6" s="1"/>
  <c r="B256" i="6" s="1"/>
  <c r="F256" i="6" s="1"/>
  <c r="D256" i="6" l="1"/>
  <c r="E256" i="6" s="1"/>
  <c r="G256" i="6" s="1"/>
  <c r="H256" i="6" s="1"/>
  <c r="B257" i="6" s="1"/>
  <c r="D257" i="6" s="1"/>
  <c r="E257" i="6" s="1"/>
  <c r="F257" i="6" l="1"/>
  <c r="G257" i="6" s="1"/>
  <c r="H257" i="6" s="1"/>
  <c r="B258" i="6" s="1"/>
  <c r="F258" i="6" l="1"/>
  <c r="D258" i="6"/>
  <c r="E258" i="6" s="1"/>
  <c r="G258" i="6" s="1"/>
  <c r="H258" i="6" s="1"/>
  <c r="B259" i="6" s="1"/>
  <c r="F259" i="6" s="1"/>
  <c r="D259" i="6" l="1"/>
  <c r="E259" i="6" s="1"/>
  <c r="G259" i="6" s="1"/>
  <c r="H259" i="6" s="1"/>
  <c r="B260" i="6" s="1"/>
  <c r="F260" i="6"/>
  <c r="D260" i="6"/>
  <c r="E260" i="6" s="1"/>
  <c r="G260" i="6" s="1"/>
  <c r="H260" i="6" s="1"/>
  <c r="B261" i="6" s="1"/>
  <c r="F261" i="6" l="1"/>
  <c r="D261" i="6"/>
  <c r="E261" i="6" s="1"/>
  <c r="G261" i="6" s="1"/>
  <c r="H261" i="6" s="1"/>
  <c r="B262" i="6" s="1"/>
  <c r="F262" i="6" l="1"/>
  <c r="D262" i="6"/>
  <c r="E262" i="6" s="1"/>
  <c r="G262" i="6" s="1"/>
  <c r="H262" i="6" s="1"/>
  <c r="B263" i="6" s="1"/>
  <c r="F263" i="6" l="1"/>
  <c r="D263" i="6"/>
  <c r="E263" i="6" s="1"/>
  <c r="G263" i="6" s="1"/>
  <c r="H263" i="6" s="1"/>
  <c r="B264" i="6" s="1"/>
  <c r="F264" i="6" l="1"/>
  <c r="D264" i="6"/>
  <c r="E264" i="6" s="1"/>
  <c r="G264" i="6" s="1"/>
  <c r="H264" i="6" s="1"/>
  <c r="B265" i="6" s="1"/>
  <c r="F265" i="6" l="1"/>
  <c r="D265" i="6"/>
  <c r="E265" i="6" s="1"/>
  <c r="G265" i="6" s="1"/>
  <c r="H265" i="6" s="1"/>
  <c r="B266" i="6" s="1"/>
  <c r="F266" i="6" l="1"/>
  <c r="D266" i="6"/>
  <c r="E266" i="6" s="1"/>
  <c r="G266" i="6" s="1"/>
  <c r="H266" i="6" s="1"/>
  <c r="B267" i="6" s="1"/>
  <c r="F267" i="6" l="1"/>
  <c r="D267" i="6"/>
  <c r="E267" i="6" s="1"/>
  <c r="G267" i="6" s="1"/>
  <c r="H267" i="6" s="1"/>
  <c r="B268" i="6" s="1"/>
  <c r="F268" i="6" l="1"/>
  <c r="D268" i="6"/>
  <c r="E268" i="6" s="1"/>
  <c r="G268" i="6" s="1"/>
  <c r="H268" i="6" s="1"/>
  <c r="B269" i="6" s="1"/>
  <c r="F269" i="6" l="1"/>
  <c r="D269" i="6"/>
  <c r="E269" i="6" s="1"/>
  <c r="G269" i="6" s="1"/>
  <c r="H269" i="6" s="1"/>
  <c r="B270" i="6" s="1"/>
  <c r="F270" i="6" l="1"/>
  <c r="D270" i="6"/>
  <c r="E270" i="6" s="1"/>
  <c r="G270" i="6" s="1"/>
  <c r="H270" i="6" s="1"/>
  <c r="B271" i="6" s="1"/>
  <c r="F271" i="6" l="1"/>
  <c r="D271" i="6"/>
  <c r="E271" i="6" s="1"/>
  <c r="G271" i="6" s="1"/>
  <c r="H271" i="6" s="1"/>
  <c r="B272" i="6" s="1"/>
  <c r="F272" i="6" l="1"/>
  <c r="D272" i="6"/>
  <c r="E272" i="6" s="1"/>
  <c r="G272" i="6" s="1"/>
  <c r="H272" i="6" s="1"/>
  <c r="B273" i="6" s="1"/>
  <c r="F273" i="6" l="1"/>
  <c r="D273" i="6"/>
  <c r="E273" i="6" s="1"/>
  <c r="G273" i="6" s="1"/>
  <c r="H273" i="6" s="1"/>
  <c r="B274" i="6" s="1"/>
  <c r="F274" i="6" l="1"/>
  <c r="D274" i="6"/>
  <c r="E274" i="6" s="1"/>
  <c r="G274" i="6" s="1"/>
  <c r="H274" i="6" s="1"/>
  <c r="B275" i="6" s="1"/>
  <c r="F275" i="6" l="1"/>
  <c r="D275" i="6"/>
  <c r="E275" i="6" s="1"/>
  <c r="G275" i="6" s="1"/>
  <c r="H275" i="6" s="1"/>
  <c r="B276" i="6" s="1"/>
  <c r="F276" i="6" l="1"/>
  <c r="D276" i="6"/>
  <c r="E276" i="6" s="1"/>
  <c r="G276" i="6" s="1"/>
  <c r="H276" i="6" s="1"/>
  <c r="B277" i="6" s="1"/>
  <c r="F277" i="6" l="1"/>
  <c r="D277" i="6"/>
  <c r="E277" i="6" s="1"/>
  <c r="G277" i="6" s="1"/>
  <c r="H277" i="6" s="1"/>
  <c r="B278" i="6" s="1"/>
  <c r="F278" i="6" l="1"/>
  <c r="D278" i="6"/>
  <c r="E278" i="6" s="1"/>
  <c r="G278" i="6" s="1"/>
  <c r="H278" i="6" s="1"/>
  <c r="B279" i="6" s="1"/>
  <c r="F279" i="6" l="1"/>
  <c r="D279" i="6"/>
  <c r="E279" i="6" s="1"/>
  <c r="G279" i="6" s="1"/>
  <c r="H279" i="6" s="1"/>
  <c r="B280" i="6" s="1"/>
  <c r="F280" i="6" l="1"/>
  <c r="D280" i="6"/>
  <c r="E280" i="6" s="1"/>
  <c r="G280" i="6" s="1"/>
  <c r="H280" i="6" s="1"/>
  <c r="B281" i="6" s="1"/>
  <c r="F281" i="6" l="1"/>
  <c r="D281" i="6"/>
  <c r="E281" i="6" s="1"/>
  <c r="G281" i="6" s="1"/>
  <c r="H281" i="6" s="1"/>
  <c r="B282" i="6" s="1"/>
  <c r="F282" i="6" l="1"/>
  <c r="D282" i="6"/>
  <c r="E282" i="6" s="1"/>
  <c r="G282" i="6" s="1"/>
  <c r="H282" i="6" s="1"/>
  <c r="B283" i="6" s="1"/>
  <c r="F283" i="6" l="1"/>
  <c r="D283" i="6"/>
  <c r="E283" i="6" s="1"/>
  <c r="G283" i="6" s="1"/>
  <c r="H283" i="6" s="1"/>
  <c r="B284" i="6" s="1"/>
  <c r="F284" i="6" l="1"/>
  <c r="D284" i="6"/>
  <c r="E284" i="6" s="1"/>
  <c r="G284" i="6" s="1"/>
  <c r="H284" i="6" s="1"/>
  <c r="B285" i="6" s="1"/>
  <c r="F285" i="6" l="1"/>
  <c r="D285" i="6"/>
  <c r="E285" i="6" s="1"/>
  <c r="G285" i="6" s="1"/>
  <c r="H285" i="6" s="1"/>
  <c r="B286" i="6" s="1"/>
  <c r="F286" i="6" l="1"/>
  <c r="D286" i="6"/>
  <c r="E286" i="6" s="1"/>
  <c r="G286" i="6" s="1"/>
  <c r="H286" i="6" s="1"/>
  <c r="B287" i="6" s="1"/>
  <c r="F287" i="6" l="1"/>
  <c r="D287" i="6"/>
  <c r="E287" i="6" s="1"/>
  <c r="G287" i="6" s="1"/>
  <c r="H287" i="6" s="1"/>
  <c r="B288" i="6" s="1"/>
  <c r="F288" i="6" l="1"/>
  <c r="D288" i="6"/>
  <c r="E288" i="6" s="1"/>
  <c r="G288" i="6" s="1"/>
  <c r="H288" i="6" s="1"/>
  <c r="B289" i="6" s="1"/>
  <c r="F289" i="6" l="1"/>
  <c r="D289" i="6"/>
  <c r="E289" i="6" s="1"/>
  <c r="G289" i="6" s="1"/>
  <c r="H289" i="6" s="1"/>
  <c r="B290" i="6" s="1"/>
  <c r="F290" i="6" l="1"/>
  <c r="D290" i="6"/>
  <c r="E290" i="6" s="1"/>
  <c r="G290" i="6" s="1"/>
  <c r="H290" i="6" s="1"/>
  <c r="B291" i="6" s="1"/>
  <c r="F291" i="6" l="1"/>
  <c r="D291" i="6"/>
  <c r="E291" i="6" s="1"/>
  <c r="G291" i="6" s="1"/>
  <c r="H291" i="6" s="1"/>
  <c r="B292" i="6" s="1"/>
  <c r="F292" i="6" l="1"/>
  <c r="D292" i="6"/>
  <c r="E292" i="6" s="1"/>
  <c r="G292" i="6" s="1"/>
  <c r="H292" i="6" s="1"/>
  <c r="B293" i="6" s="1"/>
  <c r="F293" i="6" l="1"/>
  <c r="D293" i="6"/>
  <c r="E293" i="6" s="1"/>
  <c r="G293" i="6" s="1"/>
  <c r="H293" i="6" s="1"/>
  <c r="B294" i="6" s="1"/>
  <c r="F294" i="6" l="1"/>
  <c r="D294" i="6"/>
  <c r="E294" i="6" s="1"/>
  <c r="G294" i="6" s="1"/>
  <c r="H294" i="6" s="1"/>
  <c r="B295" i="6" s="1"/>
  <c r="F295" i="6" l="1"/>
  <c r="D295" i="6"/>
  <c r="E295" i="6" s="1"/>
  <c r="G295" i="6" s="1"/>
  <c r="H295" i="6" s="1"/>
  <c r="B296" i="6" s="1"/>
  <c r="F296" i="6" l="1"/>
  <c r="D296" i="6"/>
  <c r="E296" i="6" s="1"/>
  <c r="G296" i="6" s="1"/>
  <c r="H296" i="6" s="1"/>
  <c r="B297" i="6" s="1"/>
  <c r="F297" i="6" l="1"/>
  <c r="D297" i="6"/>
  <c r="E297" i="6" s="1"/>
  <c r="G297" i="6" s="1"/>
  <c r="H297" i="6" s="1"/>
  <c r="B298" i="6" s="1"/>
  <c r="F298" i="6" l="1"/>
  <c r="D298" i="6"/>
  <c r="E298" i="6" s="1"/>
  <c r="G298" i="6" s="1"/>
  <c r="H298" i="6" s="1"/>
  <c r="B299" i="6" s="1"/>
  <c r="F299" i="6" l="1"/>
  <c r="D299" i="6"/>
  <c r="E299" i="6" s="1"/>
  <c r="G299" i="6" s="1"/>
  <c r="H299" i="6" s="1"/>
  <c r="B300" i="6" s="1"/>
  <c r="F300" i="6" l="1"/>
  <c r="D300" i="6"/>
  <c r="E300" i="6" s="1"/>
  <c r="G300" i="6" s="1"/>
  <c r="H300" i="6" s="1"/>
  <c r="B301" i="6" s="1"/>
  <c r="F301" i="6" l="1"/>
  <c r="D301" i="6"/>
  <c r="E301" i="6" s="1"/>
  <c r="G301" i="6" s="1"/>
  <c r="H301" i="6" s="1"/>
  <c r="B302" i="6" s="1"/>
  <c r="F302" i="6" l="1"/>
  <c r="D302" i="6"/>
  <c r="E302" i="6" s="1"/>
  <c r="G302" i="6" s="1"/>
  <c r="H302" i="6" s="1"/>
  <c r="B303" i="6" s="1"/>
  <c r="F303" i="6" l="1"/>
  <c r="D303" i="6"/>
  <c r="E303" i="6" s="1"/>
  <c r="G303" i="6" s="1"/>
  <c r="H303" i="6" s="1"/>
  <c r="B304" i="6" s="1"/>
  <c r="F304" i="6" l="1"/>
  <c r="D304" i="6"/>
  <c r="E304" i="6" s="1"/>
  <c r="G304" i="6" s="1"/>
  <c r="H304" i="6" s="1"/>
  <c r="B305" i="6" s="1"/>
  <c r="F305" i="6" l="1"/>
  <c r="D305" i="6"/>
  <c r="E305" i="6" s="1"/>
  <c r="G305" i="6" s="1"/>
  <c r="H305" i="6" s="1"/>
  <c r="B306" i="6" s="1"/>
  <c r="F306" i="6" l="1"/>
  <c r="D306" i="6"/>
  <c r="E306" i="6" s="1"/>
  <c r="G306" i="6" s="1"/>
  <c r="H306" i="6" s="1"/>
  <c r="B307" i="6" s="1"/>
  <c r="F307" i="6" l="1"/>
  <c r="D307" i="6"/>
  <c r="E307" i="6" s="1"/>
  <c r="G307" i="6" s="1"/>
  <c r="H307" i="6" s="1"/>
  <c r="B308" i="6" s="1"/>
  <c r="F308" i="6" l="1"/>
  <c r="D308" i="6"/>
  <c r="E308" i="6" s="1"/>
  <c r="G308" i="6" s="1"/>
  <c r="H308" i="6" s="1"/>
  <c r="B309" i="6" s="1"/>
  <c r="F309" i="6" l="1"/>
  <c r="D309" i="6"/>
  <c r="E309" i="6" s="1"/>
  <c r="G309" i="6" s="1"/>
  <c r="H309" i="6" s="1"/>
  <c r="B310" i="6" s="1"/>
  <c r="F310" i="6" l="1"/>
  <c r="D310" i="6"/>
  <c r="E310" i="6" s="1"/>
  <c r="G310" i="6" s="1"/>
  <c r="H310" i="6" s="1"/>
  <c r="B311" i="6" s="1"/>
  <c r="F311" i="6" l="1"/>
  <c r="D311" i="6"/>
  <c r="E311" i="6" s="1"/>
  <c r="G311" i="6" s="1"/>
  <c r="H311" i="6" s="1"/>
  <c r="B312" i="6" s="1"/>
  <c r="F312" i="6" l="1"/>
  <c r="D312" i="6"/>
  <c r="E312" i="6" s="1"/>
  <c r="G312" i="6" s="1"/>
  <c r="H312" i="6" s="1"/>
  <c r="B313" i="6" s="1"/>
  <c r="F313" i="6" l="1"/>
  <c r="D313" i="6"/>
  <c r="E313" i="6" s="1"/>
  <c r="G313" i="6" s="1"/>
  <c r="H313" i="6" s="1"/>
  <c r="B314" i="6" s="1"/>
  <c r="F314" i="6" l="1"/>
  <c r="D314" i="6"/>
  <c r="E314" i="6" s="1"/>
  <c r="G314" i="6" s="1"/>
  <c r="H314" i="6" s="1"/>
  <c r="B315" i="6" s="1"/>
  <c r="F315" i="6" l="1"/>
  <c r="D315" i="6"/>
  <c r="E315" i="6" s="1"/>
  <c r="G315" i="6" s="1"/>
  <c r="H315" i="6" s="1"/>
  <c r="B316" i="6" s="1"/>
  <c r="F316" i="6" l="1"/>
  <c r="D316" i="6"/>
  <c r="E316" i="6" s="1"/>
  <c r="G316" i="6" s="1"/>
  <c r="H316" i="6" s="1"/>
  <c r="B16" i="7"/>
  <c r="D13" i="7" s="1"/>
  <c r="B15" i="7"/>
  <c r="D10" i="7" l="1"/>
  <c r="D7" i="7"/>
  <c r="D11" i="7"/>
  <c r="D8" i="7"/>
  <c r="D12" i="7"/>
  <c r="D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6" authorId="0" shapeId="0" xr:uid="{00000000-0006-0000-0200-000001000000}">
      <text>
        <r>
          <rPr>
            <sz val="10"/>
            <rFont val="Arial"/>
            <family val="2"/>
          </rPr>
          <t>Chosen payment amount; parameter choice is unique to this submission.
Resource: https://sites.google.com/view/vinegarhill-automationlabs/module-3-software-training-python-automation</t>
        </r>
      </text>
    </comment>
    <comment ref="B7" authorId="0" shapeId="0" xr:uid="{00000000-0006-0000-0200-000002000000}">
      <text>
        <r>
          <rPr>
            <sz val="10"/>
            <rFont val="Arial"/>
            <family val="2"/>
          </rPr>
          <t>Discount rate assumption for annuity valuation.
Resource: https://sites.google.com/view/vinegarhill-automationlabs/module-3-software-training-python-automation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6" authorId="0" shapeId="0" xr:uid="{00000000-0006-0000-0300-000001000000}">
      <text>
        <r>
          <rPr>
            <sz val="10"/>
            <rFont val="Arial"/>
            <family val="2"/>
          </rPr>
          <t>Bond pricing setup using user-chosen parameters.
Source: https://sites.google.com/view/vinegarhill-financelabs/fixed-income-analysis/bond-pricing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M2" authorId="0" shapeId="0" xr:uid="{00000000-0006-0000-0800-000001000000}">
      <text>
        <r>
          <rPr>
            <sz val="10"/>
            <rFont val="Arial"/>
            <family val="2"/>
          </rPr>
          <t>This is a populated demo return set. Replace with your one-year yfinance export for final submission consistency.</t>
        </r>
      </text>
    </comment>
  </commentList>
</comments>
</file>

<file path=xl/sharedStrings.xml><?xml version="1.0" encoding="utf-8"?>
<sst xmlns="http://schemas.openxmlformats.org/spreadsheetml/2006/main" count="335" uniqueCount="231">
  <si>
    <t>Workbook purpose</t>
  </si>
  <si>
    <t>Navigation</t>
  </si>
  <si>
    <t>Q5_i_Annuity</t>
  </si>
  <si>
    <t>Present value of annuity + sensitivity</t>
  </si>
  <si>
    <t>Q5_ii_Bond_Duration</t>
  </si>
  <si>
    <t>Bond pricing, duration, SVB note</t>
  </si>
  <si>
    <t>Q5_iii_YTM</t>
  </si>
  <si>
    <t>Bisection YTM estimator</t>
  </si>
  <si>
    <t>Q5_iv_Mortgage</t>
  </si>
  <si>
    <t>Mortgage repayment + amortization</t>
  </si>
  <si>
    <t>Q5_v_TermStructure</t>
  </si>
  <si>
    <t>Continuous spot-rate estimation</t>
  </si>
  <si>
    <t>Q6_i_Black76</t>
  </si>
  <si>
    <t>Black (1976) bond futures option</t>
  </si>
  <si>
    <t>Q6_ii_VaR_CVaR</t>
  </si>
  <si>
    <t>Portfolio covariance, VaR, CVaR</t>
  </si>
  <si>
    <t>Q6_iii_ESO</t>
  </si>
  <si>
    <t>Executive stock options sensitivity</t>
  </si>
  <si>
    <t>Colab_Links</t>
  </si>
  <si>
    <t>Verification links + source map</t>
  </si>
  <si>
    <t>Model</t>
  </si>
  <si>
    <t>Key output</t>
  </si>
  <si>
    <t>Value</t>
  </si>
  <si>
    <t>Annuity PV</t>
  </si>
  <si>
    <t>Bond price</t>
  </si>
  <si>
    <t>Macaulay duration (yrs)</t>
  </si>
  <si>
    <t>Converged YTM</t>
  </si>
  <si>
    <t>Mortgage payment</t>
  </si>
  <si>
    <t>10y spot rate</t>
  </si>
  <si>
    <t>Black-76 call</t>
  </si>
  <si>
    <t>10-day parametric VaR</t>
  </si>
  <si>
    <t>ESO fair value</t>
  </si>
  <si>
    <t>Verification Links and Source Map</t>
  </si>
  <si>
    <t>Task</t>
  </si>
  <si>
    <t>Excel sheet</t>
  </si>
  <si>
    <t>Resource URL</t>
  </si>
  <si>
    <t>Colab verification link</t>
  </si>
  <si>
    <t>Notes</t>
  </si>
  <si>
    <t>Status</t>
  </si>
  <si>
    <t>Q5(i)</t>
  </si>
  <si>
    <t>Ordinary + annuity due shown</t>
  </si>
  <si>
    <t>Update</t>
  </si>
  <si>
    <t>Q5(ii)</t>
  </si>
  <si>
    <t>Bond pricing + duration</t>
  </si>
  <si>
    <t>Q5(iii)</t>
  </si>
  <si>
    <t>Bisection steps align with VBA logic</t>
  </si>
  <si>
    <t>Q5(iv)</t>
  </si>
  <si>
    <t>Paste mortgage notebook link</t>
  </si>
  <si>
    <t>Q5(v)</t>
  </si>
  <si>
    <t>Continuous-rate regression</t>
  </si>
  <si>
    <t>Q6(i)</t>
  </si>
  <si>
    <t>Use same inputs as Excel</t>
  </si>
  <si>
    <t>Q6(ii)</t>
  </si>
  <si>
    <t>yfinance export should replace demo data</t>
  </si>
  <si>
    <t>Q6(iii)</t>
  </si>
  <si>
    <t>Hull-White-style sensitivity</t>
  </si>
  <si>
    <t>Q5(i) Present Value of an Annuity</t>
  </si>
  <si>
    <t>Present value of an ordinary annuity and annuity due</t>
  </si>
  <si>
    <t>Inputs</t>
  </si>
  <si>
    <t>Rate sensitivity</t>
  </si>
  <si>
    <t>Tenor sensitivity</t>
  </si>
  <si>
    <t>Payment per period</t>
  </si>
  <si>
    <t>Annual rate</t>
  </si>
  <si>
    <t>PV ordinary</t>
  </si>
  <si>
    <t>Years</t>
  </si>
  <si>
    <t>Annual discount rate</t>
  </si>
  <si>
    <t>Payments per year</t>
  </si>
  <si>
    <t>Annuity due? (0/1)</t>
  </si>
  <si>
    <t>Periodic rate</t>
  </si>
  <si>
    <t>Total periods</t>
  </si>
  <si>
    <t>PV - ordinary annuity</t>
  </si>
  <si>
    <t>PV - annuity due</t>
  </si>
  <si>
    <t>Selected output</t>
  </si>
  <si>
    <t>Interpretation</t>
  </si>
  <si>
    <t>The Present value decreases with an increased discount rate because future cash flows are discounted at a higher rate.
The number of cash flows rises, increasing the sum of discounted cash flows and the method used to calculate the value depends on the periodic rate.
Annuity-due value is higher than the annuity value by one compounding period.</t>
  </si>
  <si>
    <t>VBA Code:</t>
  </si>
  <si>
    <t xml:space="preserve">Function PVAnnuity(Pmt As Double, AnnualRate As Double, Years As Double, PayPerYear As Integer, DueFlag As Integer) As Double
    Dim r As Double, n As Double, pvOrd As Double
    r = AnnualRate / PayPerYear
    n = Years * PayPerYear
    pvOrd = Pmt * (1 - (1 + r) ^ (-n)) / r
    If DueFlag = 1 Then
        PVAnnuity = pvOrd * (1 + r)
    Else
        PVAnnuity = pvOrd
    End If
End Function
</t>
  </si>
  <si>
    <t>Q5(ii) Bond Pricing, Duration, and Sensitivity Analysis</t>
  </si>
  <si>
    <t>Coupon Rate</t>
  </si>
  <si>
    <t>1yr</t>
  </si>
  <si>
    <t>5yr</t>
  </si>
  <si>
    <t>10yr</t>
  </si>
  <si>
    <t>15yr</t>
  </si>
  <si>
    <t>20yr</t>
  </si>
  <si>
    <t>30yr</t>
  </si>
  <si>
    <t>Yield sensitivity</t>
  </si>
  <si>
    <t>Face value</t>
  </si>
  <si>
    <t>YTM</t>
  </si>
  <si>
    <t>Price</t>
  </si>
  <si>
    <t>Mod. duration</t>
  </si>
  <si>
    <t>Coupon rate</t>
  </si>
  <si>
    <t>Yield to maturity</t>
  </si>
  <si>
    <t>Years to maturity</t>
  </si>
  <si>
    <t>Coupons per year</t>
  </si>
  <si>
    <t>Coupon / period</t>
  </si>
  <si>
    <t>Periodic yield</t>
  </si>
  <si>
    <t>Modified duration</t>
  </si>
  <si>
    <t>DV01 (approx)</t>
  </si>
  <si>
    <t>Period</t>
  </si>
  <si>
    <t>Time (yrs)</t>
  </si>
  <si>
    <t>Coupon</t>
  </si>
  <si>
    <t>Principal</t>
  </si>
  <si>
    <t>Total CF</t>
  </si>
  <si>
    <t>DF</t>
  </si>
  <si>
    <t>PV CF</t>
  </si>
  <si>
    <t>Time*PV</t>
  </si>
  <si>
    <t>Regulatory relevance (SVB)</t>
  </si>
  <si>
    <t>Duration matching is important because banks holding long-duration assets and financing them with runnable short-term deposits are vulnerable to mark-to-market losses if rates increase.
SVB made clear how the combination of unrealized losses and deposit withdrawals can occur rapidly if there is a mismatch of durations.</t>
  </si>
  <si>
    <t>Interpretation and H&amp;K-style replication logic</t>
  </si>
  <si>
    <t>The schedule clearly mimics present-value weighting, which is a key part of the typical duration tables (for example, Hopewell and Kaufman, 1973).
Increased yields reduce prices and often durations because cash flows are further in the future.
Higher coupons shorten the period by shifting value to the earlier coupons.
Longer term bonds can increase duration and interest-rate risk.</t>
  </si>
  <si>
    <t xml:space="preserve">Function BondPrice(Face As Double, CouponRate As Double, YTM As Double, Years As Double, Freq As Integer) As Double
    Dim c As Double, i As Integer, n As Integer, px As Double
    c = Face * CouponRate / Freq
    n = Years * Freq
    px = 0
    For i = 1 To n
        px = px + c / (1 + YTM / Freq) ^ i
    Next i
    BondPrice = px + Face / (1 + YTM / Freq) ^ n
End Function
Function BondDuration(Face As Double, CouponRate As Double, YTM As Double, Years As Double, Freq As Integer) As Double
    Dim c As Double, i As Integer, n As Integer, px As Double, wt As Double
    c = Face * CouponRate / Freq
    n = Years * Freq
    px = BondPrice(Face, CouponRate, YTM, Years, Freq)
    wt = 0
    For i = 1 To n
        wt = wt + (i / Freq) * c / (1 + YTM / Freq) ^ i
    Next i
    wt = wt + Years * Face / (1 + YTM / Freq) ^ n
    BondDuration = wt / px
End Function
</t>
  </si>
  <si>
    <t>Q5(iii) Yield to Maturity via Bisection Method</t>
  </si>
  <si>
    <t>Algorithm logic</t>
  </si>
  <si>
    <t>For bonds, the price function is monotonically decreasing with respect to yield, so the bisection method finds the root.
If Price(mid) is above the market price, the yield is too small and the lower bound goes up.
It has slow but solid convergence properties and is, therefore, widely used in academic settings.</t>
  </si>
  <si>
    <t>Market price</t>
  </si>
  <si>
    <t>Initial low guess</t>
  </si>
  <si>
    <t>Initial high guess</t>
  </si>
  <si>
    <t>Iter</t>
  </si>
  <si>
    <t>Low</t>
  </si>
  <si>
    <t>High</t>
  </si>
  <si>
    <t>Mid</t>
  </si>
  <si>
    <t>Price(mid)</t>
  </si>
  <si>
    <t>Error</t>
  </si>
  <si>
    <t>Decision</t>
  </si>
  <si>
    <t>Final bracket</t>
  </si>
  <si>
    <t xml:space="preserve">Function YTMBisection(Face As Double, CouponRate As Double, Price As Double, Years As Double, Freq As Integer) As Double
    Dim lowY As Double, highY As Double, midY As Double, testPx As Double, i As Integer
    lowY = 0.01
    highY = 0.15
    For i = 1 To 50
        midY = (lowY + highY) / 2
        testPx = BondPrice(Face, CouponRate, midY, Years, Freq)
        If testPx &gt; Price Then
            lowY = midY
        Else
            highY = midY
        End If
    Next i
    YTMBisection = midY
End Function
</t>
  </si>
  <si>
    <t>Q5(iv) Mortgage Repayment and Amortization</t>
  </si>
  <si>
    <t>Loan principal</t>
  </si>
  <si>
    <t>IO / PO trading note</t>
  </si>
  <si>
    <t>IO strips benefit from slower prepayment as the interest cash flows run for longer.
principle-only strips benefit from faster prepayment since the principle is returned sooner and at a lower discount.
Trading exposures in IO/PO are done by using stress rate routes and prepayment assumptions.</t>
  </si>
  <si>
    <t>Extra monthly prepayment</t>
  </si>
  <si>
    <t>Monthly rate</t>
  </si>
  <si>
    <t>Scheduled payment</t>
  </si>
  <si>
    <t>Payment incl. prepay</t>
  </si>
  <si>
    <t>Pmt #</t>
  </si>
  <si>
    <t>Opening bal.</t>
  </si>
  <si>
    <t>Scheduled pmt</t>
  </si>
  <si>
    <t>Interest</t>
  </si>
  <si>
    <t>Scheduled princ.</t>
  </si>
  <si>
    <t>Extra prepay</t>
  </si>
  <si>
    <t>Total principal</t>
  </si>
  <si>
    <t>Closing bal.</t>
  </si>
  <si>
    <t xml:space="preserve">Function MortgagePayment(Principal As Double, AnnualRate As Double, Years As Double, PayPerYear As Integer) As Double
    Dim r As Double, n As Double
    r = AnnualRate / PayPerYear
    n = Years * PayPerYear
    MortgagePayment = Principal * r / (1 - (1 + r) ^ (-n))
End Function
</t>
  </si>
  <si>
    <t>Q5(v) Term Structure Estimation (Continuous Rates)</t>
  </si>
  <si>
    <t>Input discount factors</t>
  </si>
  <si>
    <t>Maturity (yrs)</t>
  </si>
  <si>
    <t>Discount factor</t>
  </si>
  <si>
    <t>Spot rate (cc)</t>
  </si>
  <si>
    <t>Fitted rate</t>
  </si>
  <si>
    <t>Regression slope</t>
  </si>
  <si>
    <t>Regression intercept</t>
  </si>
  <si>
    <t>Discount factors can be converted to continuous spot rates using r(t) = -ln(DF)/t.
A rising fitted curve is expected if a longer term receives higher compensation.
Regression returns a JP-Morgan-style compact map, but actual curves are often better matched using splines and the Nelson-Siegel method.</t>
  </si>
  <si>
    <t xml:space="preserve">Function ContSpotRate(DiscountFactor As Double, Maturity As Double) As Double
    ContSpotRate = -WorksheetFunction.Ln(DiscountFactor) / Maturity
End Function
</t>
  </si>
  <si>
    <t>Q6(i) Black (1976) Option on a Bond Futures Contract</t>
  </si>
  <si>
    <t>Volatility</t>
  </si>
  <si>
    <t>Call-Value</t>
  </si>
  <si>
    <t>Futures price</t>
  </si>
  <si>
    <t>Call value</t>
  </si>
  <si>
    <t>Strike</t>
  </si>
  <si>
    <t>Increasing volatility and futures prices increase call option values.
An American version can be priced using the tree or finite-difference method applied to calculate whether early exercise is profitable.
Call options on bond futures hedge interest rate risk by rising in value as bond futures values move in the opposite direction from cash-bond values.</t>
  </si>
  <si>
    <t>Risk-free rate</t>
  </si>
  <si>
    <t>Time to maturity (yrs)</t>
  </si>
  <si>
    <t>d1</t>
  </si>
  <si>
    <t>d2</t>
  </si>
  <si>
    <t>N(d1)</t>
  </si>
  <si>
    <t>N(d2)</t>
  </si>
  <si>
    <t>Put value</t>
  </si>
  <si>
    <t>Put-call parity verification</t>
  </si>
  <si>
    <t>C − P</t>
  </si>
  <si>
    <t xml:space="preserve">Function Black76Call(F As Double, K As Double, r As Double, T As Double, sigma As Double) As Double
    Dim d1 As Double, d2 As Double
    d1 = (Log(F / K) + 0.5 * sigma ^ 2 * T) / (sigma * Sqr(T))
    d2 = d1 - sigma * Sqr(T)
    Black76Call = Exp(-r * T) * (F * WorksheetFunction.Norm_S_Dist(d1, True) - K * WorksheetFunction.Norm_S_Dist(d2, True))
End Function
</t>
  </si>
  <si>
    <t>Date</t>
  </si>
  <si>
    <t>AMZN</t>
  </si>
  <si>
    <t>CCL</t>
  </si>
  <si>
    <t>MARA</t>
  </si>
  <si>
    <t>NFLX</t>
  </si>
  <si>
    <t>NIO</t>
  </si>
  <si>
    <t>NOK</t>
  </si>
  <si>
    <t>NVDA</t>
  </si>
  <si>
    <t>RIG</t>
  </si>
  <si>
    <t>SNAP</t>
  </si>
  <si>
    <t>U</t>
  </si>
  <si>
    <t>Note: This is a Portfolio Line Chart</t>
  </si>
  <si>
    <t>Q6(ii) Portfolio Covariance Matrix, VaR, and CVaR</t>
  </si>
  <si>
    <t>Portfolio setup</t>
  </si>
  <si>
    <t>Variance-covariance matrix</t>
  </si>
  <si>
    <t>Sorted returns</t>
  </si>
  <si>
    <t>VaR cutoff</t>
  </si>
  <si>
    <t>CVaR cutoff</t>
  </si>
  <si>
    <t>Obs</t>
  </si>
  <si>
    <t>Histogram bins</t>
  </si>
  <si>
    <t>Frequency</t>
  </si>
  <si>
    <t>Portfolio value</t>
  </si>
  <si>
    <t>Confidence level</t>
  </si>
  <si>
    <t>Horizon (days)</t>
  </si>
  <si>
    <t>Ticker</t>
  </si>
  <si>
    <t>Weight</t>
  </si>
  <si>
    <t>Mean return</t>
  </si>
  <si>
    <t>Std dev</t>
  </si>
  <si>
    <t>Portfolio return</t>
  </si>
  <si>
    <t>Portfolio mean (daily)</t>
  </si>
  <si>
    <t>Portfolio vol (daily)</t>
  </si>
  <si>
    <t>10-day parametric CVaR</t>
  </si>
  <si>
    <t>1-day historical VaR</t>
  </si>
  <si>
    <t>1-day historical CVaR</t>
  </si>
  <si>
    <t>Basel relevance</t>
  </si>
  <si>
    <t>VaR converts portfolio volatility into a capital-consumption lens across a specified confidence level and timeframe.
CVaR (anticipated shortfall) looks beyond the VaR cut-off to determine the average severity of tail losses.</t>
  </si>
  <si>
    <t>VBA / Excel logic note</t>
  </si>
  <si>
    <t>Q6(iii) Executive Stock Options (ESO): Fair Value and Sensitivity</t>
  </si>
  <si>
    <t>ESO value</t>
  </si>
  <si>
    <t>Expected life</t>
  </si>
  <si>
    <t>Vesting period</t>
  </si>
  <si>
    <t>Share price</t>
  </si>
  <si>
    <t>Accounting and regulatory note</t>
  </si>
  <si>
    <t>Strike price</t>
  </si>
  <si>
    <t>Fair-value measurement is important since ESO expense influences reported earnings and governance disclosures.
Vesting, forfeiture, and early exercise diminish the value compared to a freely traded vanilla option with the entire contractual period.
As a result, the sheet values the option based on its predicted life and applies a survival adjustment over the vesting period.</t>
  </si>
  <si>
    <t>Dividend yield</t>
  </si>
  <si>
    <t>Contract term (yrs)</t>
  </si>
  <si>
    <t>Expected exercise life (yrs)</t>
  </si>
  <si>
    <t>Vesting period (yrs)</t>
  </si>
  <si>
    <t>Annual forfeiture rate</t>
  </si>
  <si>
    <t>Black-Scholes value</t>
  </si>
  <si>
    <t>ESO fair value proxy</t>
  </si>
  <si>
    <t>Vesting survival factor</t>
  </si>
  <si>
    <t>Intrinsic value today</t>
  </si>
  <si>
    <t>2026 EU ESOP / 28th Regime angle</t>
  </si>
  <si>
    <t>A uniform cross-border framework could make it easier for growth companies to implement stock-based compensation across the EU.
This increases talent appeal, but robust fair-value measurement remains important for investors, boards, and regulators.
Higher volatility increases option value, whereas longer vesting periods or more aggressive early exercise assumptions reduce economic value.</t>
  </si>
  <si>
    <t xml:space="preserve">Function BlackScholesCall(S As Double, K As Double, r As Double, q As Double, sigma As Double, T As Double) As Double
    Dim d1 As Double, d2 As Double
    d1 = (Log(S / K) + (r - q + 0.5 * sigma ^ 2) * T) / (sigma * Sqr(T))
    d2 = d1 - sigma * Sqr(T)
    BlackScholesCall = S * Exp(-q * T) * WorksheetFunction.Norm_S_Dist(d1, True) _
                     - K * Exp(-r * T) * WorksheetFunction.Norm_S_Dist(d2, True)
End Function
Function ESOFairValue(S As Double, K As Double, r As Double, q As Double, sigma As Double, ExpectedLife As Double, VestingYears As Double, ForfeitRate As Double) As Double
    ESOFairValue = BlackScholesCall(S, K, r, q, sigma, ExpectedLife) * Exp(-ForfeitRate * VestingYears)
End Function
</t>
  </si>
  <si>
    <t xml:space="preserve"> Portfolio VaR is typically easier in Excel formulas than raw VBA.
' Core logic:
' 1. Build daily return matrix.
' 2. Estimate covariance matrix with COVARIANCE.S.
' 3. Create portfolio return series from weights and asset returns.
' 4. Convert daily volatility to 10-day volatility by sqrt(10).
' 5. VaR = PortfolioValue * z_alpha * sigma_10d
' 6. CVaR = PortfolioValue * [phi(z_alpha)/(1-alpha)] * sigma_10d
</t>
  </si>
  <si>
    <t>https://colab.research.google.com/drive/1ph-srD_SSh0IHcCb2dU959q5xbE8aj9T</t>
  </si>
  <si>
    <t>Financial Regulation CA1 -  Master Workbook</t>
  </si>
  <si>
    <t>Integrated Excel submission for Q5 and Q6 with model logic, sensitivity analysis, charts, and VBA blocks.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</si>
</sst>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Red]\(#,##0\);\-"/>
    <numFmt numFmtId="165" formatCode="0.0%"/>
    <numFmt numFmtId="166" formatCode="\€#,##0.00;[Red]&quot;(€&quot;#,##0.00\);\-"/>
    <numFmt numFmtId="167" formatCode="#,##0.00;[Red]\(#,##0.00\);\-"/>
    <numFmt numFmtId="168" formatCode="0.0000"/>
    <numFmt numFmtId="169" formatCode="[$-409]d\-mmm\-yy;@"/>
    <numFmt numFmtId="170" formatCode="0.000000"/>
    <numFmt numFmtId="171" formatCode="0.00000E+00"/>
  </numFmts>
  <fonts count="38" x14ac:knownFonts="1">
    <font>
      <sz val="11"/>
      <color theme="1"/>
      <name val="Calibri"/>
      <family val="2"/>
      <charset val="1"/>
    </font>
    <font>
      <sz val="12"/>
      <color theme="10"/>
      <name val="Calibri"/>
      <family val="2"/>
      <charset val="1"/>
    </font>
    <font>
      <sz val="11"/>
      <color theme="1"/>
      <name val="Times New Roman"/>
      <family val="1"/>
    </font>
    <font>
      <b/>
      <sz val="16"/>
      <color rgb="FF1F3864"/>
      <name val="Arial"/>
      <family val="2"/>
    </font>
    <font>
      <b/>
      <sz val="11"/>
      <color rgb="FF000000"/>
      <name val="Times New Roman"/>
      <family val="1"/>
    </font>
    <font>
      <b/>
      <sz val="13"/>
      <name val="Times New Roman"/>
      <family val="1"/>
    </font>
    <font>
      <u/>
      <sz val="11"/>
      <color rgb="FF008000"/>
      <name val="Times New Roman"/>
      <family val="1"/>
    </font>
    <font>
      <sz val="10"/>
      <name val="Times New Roman"/>
      <family val="1"/>
    </font>
    <font>
      <b/>
      <sz val="10"/>
      <name val="Arial"/>
      <family val="2"/>
    </font>
    <font>
      <sz val="9"/>
      <color rgb="FF666666"/>
      <name val="Arial"/>
      <family val="2"/>
    </font>
    <font>
      <sz val="10"/>
      <color rgb="FF008000"/>
      <name val="Arial"/>
      <family val="2"/>
    </font>
    <font>
      <b/>
      <sz val="14"/>
      <color rgb="FF1F3864"/>
      <name val="Arial"/>
      <family val="2"/>
    </font>
    <font>
      <b/>
      <sz val="10"/>
      <color rgb="FFCC0000"/>
      <name val="Arial"/>
      <family val="2"/>
    </font>
    <font>
      <sz val="10"/>
      <name val="Arial"/>
      <family val="2"/>
    </font>
    <font>
      <b/>
      <sz val="11"/>
      <name val="Calibri"/>
      <family val="2"/>
    </font>
    <font>
      <sz val="11"/>
      <color rgb="FF000000"/>
      <name val="Calibri"/>
      <family val="2"/>
      <charset val="1"/>
    </font>
    <font>
      <b/>
      <sz val="14"/>
      <color rgb="FFFFFFFF"/>
      <name val="Times New Roman"/>
      <family val="1"/>
    </font>
    <font>
      <b/>
      <sz val="14"/>
      <color rgb="FF1F3864"/>
      <name val="Times New Roman"/>
      <family val="1"/>
    </font>
    <font>
      <sz val="11"/>
      <color theme="1"/>
      <name val="Times New Roman"/>
      <family val="1"/>
    </font>
    <font>
      <b/>
      <sz val="11"/>
      <color rgb="FF000000"/>
      <name val="Times New Roman"/>
      <family val="1"/>
    </font>
    <font>
      <u/>
      <sz val="11"/>
      <color rgb="FF008000"/>
      <name val="Times New Roman"/>
      <family val="1"/>
    </font>
    <font>
      <b/>
      <sz val="13"/>
      <name val="Times New Roman"/>
      <family val="1"/>
    </font>
    <font>
      <b/>
      <sz val="10"/>
      <name val="Times New Roman"/>
      <family val="1"/>
    </font>
    <font>
      <sz val="10"/>
      <color rgb="FF0000FF"/>
      <name val="Times New Roman"/>
      <family val="1"/>
    </font>
    <font>
      <sz val="11"/>
      <color rgb="FF000000"/>
      <name val="Times New Roman"/>
      <family val="1"/>
    </font>
    <font>
      <sz val="10"/>
      <name val="Times New Roman"/>
      <family val="1"/>
    </font>
    <font>
      <sz val="10"/>
      <color rgb="FF000000"/>
      <name val="Times New Roman"/>
      <family val="1"/>
    </font>
    <font>
      <b/>
      <sz val="11"/>
      <color rgb="FF1F3864"/>
      <name val="Times New Roman"/>
      <family val="1"/>
    </font>
    <font>
      <b/>
      <sz val="10"/>
      <color rgb="FFFFFFFF"/>
      <name val="Times New Roman"/>
      <family val="1"/>
    </font>
    <font>
      <b/>
      <sz val="14"/>
      <color rgb="FF000000"/>
      <name val="Times New Roman"/>
      <family val="1"/>
    </font>
    <font>
      <b/>
      <sz val="9"/>
      <color rgb="FFFFFFFF"/>
      <name val="Times New Roman"/>
      <family val="1"/>
    </font>
    <font>
      <b/>
      <sz val="11"/>
      <color rgb="FF0000FF"/>
      <name val="Times New Roman"/>
      <family val="1"/>
    </font>
    <font>
      <b/>
      <sz val="11"/>
      <color theme="1"/>
      <name val="Times New Roman"/>
      <family val="1"/>
    </font>
    <font>
      <sz val="10"/>
      <color theme="1"/>
      <name val="Times New Roman"/>
      <family val="1"/>
    </font>
    <font>
      <b/>
      <sz val="11"/>
      <name val="Times New Roman"/>
      <family val="1"/>
    </font>
    <font>
      <b/>
      <sz val="10"/>
      <color rgb="FFFFFFFF"/>
      <name val="Arial"/>
      <family val="2"/>
    </font>
    <font>
      <sz val="10"/>
      <name val="Arial"/>
      <family val="2"/>
    </font>
    <font>
      <u/>
      <sz val="11"/>
      <color theme="10"/>
      <name val="Calibri"/>
      <family val="2"/>
      <charset val="1"/>
    </font>
  </fonts>
  <fills count="21">
    <fill>
      <patternFill patternType="none"/>
    </fill>
    <fill>
      <patternFill patternType="gray125"/>
    </fill>
    <fill>
      <patternFill patternType="solid">
        <fgColor rgb="FFD9EAF7"/>
        <bgColor rgb="FFE4DFEC"/>
      </patternFill>
    </fill>
    <fill>
      <patternFill patternType="solid">
        <fgColor rgb="FFE4DFEC"/>
        <bgColor rgb="FFD9D9D9"/>
      </patternFill>
    </fill>
    <fill>
      <patternFill patternType="solid">
        <fgColor rgb="FFFCE4D6"/>
        <bgColor rgb="FFFFF2CC"/>
      </patternFill>
    </fill>
    <fill>
      <patternFill patternType="solid">
        <fgColor rgb="FFFFCCCC"/>
        <bgColor rgb="FFFCE4D6"/>
      </patternFill>
    </fill>
    <fill>
      <patternFill patternType="solid">
        <fgColor rgb="FFFFF2CC"/>
        <bgColor rgb="FFFCE4D6"/>
      </patternFill>
    </fill>
    <fill>
      <patternFill patternType="solid">
        <fgColor rgb="FF1F3864"/>
        <bgColor rgb="FF2C4D75"/>
      </patternFill>
    </fill>
    <fill>
      <patternFill patternType="solid">
        <fgColor rgb="FF7030A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1F3864"/>
        <bgColor rgb="FF0F243E"/>
      </patternFill>
    </fill>
    <fill>
      <patternFill patternType="solid">
        <fgColor theme="4" tint="0.79998168889431442"/>
        <bgColor indexed="64"/>
      </patternFill>
    </fill>
    <fill>
      <patternFill patternType="solid">
        <fgColor theme="0"/>
        <bgColor rgb="FF1F3864"/>
      </patternFill>
    </fill>
    <fill>
      <patternFill patternType="solid">
        <fgColor theme="0"/>
        <bgColor rgb="FFD9D9D9"/>
      </patternFill>
    </fill>
    <fill>
      <patternFill patternType="solid">
        <fgColor theme="0"/>
        <bgColor rgb="FFFFF2CC"/>
      </patternFill>
    </fill>
  </fills>
  <borders count="11">
    <border>
      <left/>
      <right/>
      <top/>
      <bottom/>
      <diagonal/>
    </border>
    <border>
      <left/>
      <right/>
      <top/>
      <bottom style="thin">
        <color rgb="FFD9D9D9"/>
      </bottom>
      <diagonal/>
    </border>
    <border>
      <left style="thin">
        <color rgb="FFD9D9D9"/>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D9D9D9"/>
      </left>
      <right/>
      <top style="thin">
        <color rgb="FFD9D9D9"/>
      </top>
      <bottom/>
      <diagonal/>
    </border>
    <border>
      <left/>
      <right style="thin">
        <color rgb="FFD9D9D9"/>
      </right>
      <top style="thin">
        <color rgb="FFD9D9D9"/>
      </top>
      <bottom/>
      <diagonal/>
    </border>
    <border>
      <left style="thin">
        <color rgb="FFD9D9D9"/>
      </left>
      <right/>
      <top/>
      <bottom/>
      <diagonal/>
    </border>
    <border>
      <left/>
      <right style="thin">
        <color rgb="FFD9D9D9"/>
      </right>
      <top/>
      <bottom/>
      <diagonal/>
    </border>
    <border>
      <left style="thin">
        <color rgb="FFD9D9D9"/>
      </left>
      <right/>
      <top/>
      <bottom style="thin">
        <color rgb="FFD9D9D9"/>
      </bottom>
      <diagonal/>
    </border>
    <border>
      <left/>
      <right style="thin">
        <color rgb="FFD9D9D9"/>
      </right>
      <top/>
      <bottom style="thin">
        <color rgb="FFD9D9D9"/>
      </bottom>
      <diagonal/>
    </border>
  </borders>
  <cellStyleXfs count="3">
    <xf numFmtId="0" fontId="0" fillId="0" borderId="0"/>
    <xf numFmtId="0" fontId="1" fillId="0" borderId="0"/>
    <xf numFmtId="0" fontId="37" fillId="0" borderId="0" applyNumberFormat="0" applyFill="0" applyBorder="0" applyAlignment="0" applyProtection="0"/>
  </cellStyleXfs>
  <cellXfs count="118">
    <xf numFmtId="0" fontId="0" fillId="0" borderId="0" xfId="0"/>
    <xf numFmtId="0" fontId="2" fillId="0" borderId="0" xfId="0" applyFont="1"/>
    <xf numFmtId="0" fontId="2" fillId="0" borderId="0" xfId="0" applyFont="1" applyAlignment="1">
      <alignment vertical="center"/>
    </xf>
    <xf numFmtId="0" fontId="4" fillId="2" borderId="0" xfId="0" applyFont="1" applyFill="1" applyAlignment="1">
      <alignment vertical="center"/>
    </xf>
    <xf numFmtId="0" fontId="2" fillId="0" borderId="0" xfId="0" applyFont="1" applyAlignment="1">
      <alignment wrapText="1"/>
    </xf>
    <xf numFmtId="0" fontId="5" fillId="2" borderId="0" xfId="0" applyFont="1" applyFill="1" applyAlignment="1">
      <alignment vertical="center"/>
    </xf>
    <xf numFmtId="0" fontId="6" fillId="0" borderId="1" xfId="0" applyFont="1" applyBorder="1" applyAlignment="1">
      <alignment vertical="center"/>
    </xf>
    <xf numFmtId="0" fontId="2" fillId="0" borderId="1" xfId="0" applyFont="1" applyBorder="1" applyAlignment="1">
      <alignment wrapText="1"/>
    </xf>
    <xf numFmtId="0" fontId="8" fillId="0" borderId="1" xfId="0" applyFont="1" applyBorder="1" applyAlignment="1">
      <alignment vertical="center"/>
    </xf>
    <xf numFmtId="0" fontId="9" fillId="0" borderId="1" xfId="0" applyFont="1" applyBorder="1" applyAlignment="1">
      <alignment vertical="center"/>
    </xf>
    <xf numFmtId="4" fontId="10" fillId="0" borderId="1" xfId="0" applyNumberFormat="1" applyFont="1" applyBorder="1" applyAlignment="1">
      <alignment vertical="center"/>
    </xf>
    <xf numFmtId="0" fontId="2" fillId="0" borderId="1" xfId="0" applyFont="1" applyBorder="1" applyAlignment="1">
      <alignment vertical="center"/>
    </xf>
    <xf numFmtId="0" fontId="6" fillId="0" borderId="0" xfId="1" applyFont="1" applyAlignment="1">
      <alignment vertical="center"/>
    </xf>
    <xf numFmtId="0" fontId="12" fillId="5" borderId="3" xfId="0" applyFont="1" applyFill="1" applyBorder="1" applyAlignment="1">
      <alignment vertical="center"/>
    </xf>
    <xf numFmtId="165" fontId="2" fillId="0" borderId="0" xfId="0" applyNumberFormat="1" applyFont="1"/>
    <xf numFmtId="169" fontId="14" fillId="0" borderId="3" xfId="0" applyNumberFormat="1" applyFont="1" applyBorder="1"/>
    <xf numFmtId="0" fontId="14" fillId="0" borderId="4" xfId="0" applyFont="1" applyBorder="1"/>
    <xf numFmtId="169" fontId="15" fillId="0" borderId="0" xfId="0" applyNumberFormat="1" applyFont="1"/>
    <xf numFmtId="0" fontId="15" fillId="0" borderId="0" xfId="0" applyFont="1"/>
    <xf numFmtId="165" fontId="2" fillId="0" borderId="0" xfId="0" applyNumberFormat="1" applyFont="1" applyAlignment="1">
      <alignment vertical="center"/>
    </xf>
    <xf numFmtId="0" fontId="18" fillId="0" borderId="0" xfId="0" applyFont="1"/>
    <xf numFmtId="0" fontId="18" fillId="0" borderId="0" xfId="0" applyFont="1" applyAlignment="1">
      <alignment vertical="center"/>
    </xf>
    <xf numFmtId="0" fontId="19" fillId="2" borderId="0" xfId="0" applyFont="1" applyFill="1" applyAlignment="1">
      <alignment vertical="center"/>
    </xf>
    <xf numFmtId="0" fontId="20" fillId="0" borderId="0" xfId="1" applyFont="1" applyAlignment="1">
      <alignment vertical="center"/>
    </xf>
    <xf numFmtId="0" fontId="21" fillId="2" borderId="0" xfId="0" applyFont="1" applyFill="1" applyAlignment="1">
      <alignment vertical="center"/>
    </xf>
    <xf numFmtId="0" fontId="22" fillId="0" borderId="1" xfId="0" applyFont="1" applyBorder="1" applyAlignment="1">
      <alignment vertical="center"/>
    </xf>
    <xf numFmtId="165" fontId="18" fillId="0" borderId="3" xfId="0" applyNumberFormat="1" applyFont="1" applyBorder="1" applyAlignment="1">
      <alignment vertical="center"/>
    </xf>
    <xf numFmtId="4" fontId="24" fillId="0" borderId="3" xfId="0" applyNumberFormat="1" applyFont="1" applyBorder="1" applyAlignment="1">
      <alignment vertical="center"/>
    </xf>
    <xf numFmtId="0" fontId="18" fillId="0" borderId="3" xfId="0" applyFont="1" applyBorder="1" applyAlignment="1">
      <alignment vertical="center"/>
    </xf>
    <xf numFmtId="0" fontId="18" fillId="0" borderId="1" xfId="0" applyFont="1" applyBorder="1" applyAlignment="1">
      <alignment vertical="center"/>
    </xf>
    <xf numFmtId="10" fontId="24" fillId="0" borderId="1" xfId="0" applyNumberFormat="1" applyFont="1" applyBorder="1" applyAlignment="1">
      <alignment vertical="center"/>
    </xf>
    <xf numFmtId="164" fontId="24" fillId="0" borderId="1" xfId="0" applyNumberFormat="1" applyFont="1" applyBorder="1" applyAlignment="1">
      <alignment vertical="center"/>
    </xf>
    <xf numFmtId="166" fontId="24" fillId="0" borderId="1" xfId="0" applyNumberFormat="1" applyFont="1" applyBorder="1" applyAlignment="1">
      <alignment vertical="center"/>
    </xf>
    <xf numFmtId="166" fontId="24" fillId="0" borderId="0" xfId="0" applyNumberFormat="1" applyFont="1" applyAlignment="1">
      <alignment vertical="center"/>
    </xf>
    <xf numFmtId="0" fontId="27" fillId="0" borderId="0" xfId="0" applyFont="1"/>
    <xf numFmtId="0" fontId="28" fillId="7" borderId="3" xfId="0" applyFont="1" applyFill="1" applyBorder="1" applyAlignment="1">
      <alignment horizontal="center" vertical="center"/>
    </xf>
    <xf numFmtId="0" fontId="21" fillId="2" borderId="0" xfId="0" applyFont="1" applyFill="1"/>
    <xf numFmtId="165" fontId="23" fillId="0" borderId="3" xfId="0" applyNumberFormat="1" applyFont="1" applyBorder="1"/>
    <xf numFmtId="2" fontId="26" fillId="0" borderId="3" xfId="0" applyNumberFormat="1" applyFont="1" applyBorder="1"/>
    <xf numFmtId="0" fontId="22" fillId="0" borderId="0" xfId="0" applyFont="1"/>
    <xf numFmtId="0" fontId="19" fillId="2" borderId="0" xfId="0" applyFont="1" applyFill="1" applyAlignment="1">
      <alignment horizontal="left"/>
    </xf>
    <xf numFmtId="0" fontId="19" fillId="2" borderId="0" xfId="0" applyFont="1" applyFill="1"/>
    <xf numFmtId="10" fontId="25" fillId="0" borderId="0" xfId="0" applyNumberFormat="1" applyFont="1" applyAlignment="1">
      <alignment vertical="top" wrapText="1"/>
    </xf>
    <xf numFmtId="166" fontId="18" fillId="0" borderId="0" xfId="0" applyNumberFormat="1" applyFont="1"/>
    <xf numFmtId="167" fontId="18" fillId="0" borderId="0" xfId="0" applyNumberFormat="1" applyFont="1"/>
    <xf numFmtId="10" fontId="18" fillId="0" borderId="0" xfId="0" applyNumberFormat="1" applyFont="1"/>
    <xf numFmtId="168" fontId="18" fillId="0" borderId="0" xfId="0" applyNumberFormat="1" applyFont="1"/>
    <xf numFmtId="0" fontId="22" fillId="0" borderId="0" xfId="0" applyFont="1" applyAlignment="1">
      <alignment vertical="center"/>
    </xf>
    <xf numFmtId="10" fontId="18" fillId="0" borderId="0" xfId="0" applyNumberFormat="1" applyFont="1" applyAlignment="1">
      <alignment vertical="center"/>
    </xf>
    <xf numFmtId="10" fontId="24" fillId="0" borderId="0" xfId="0" applyNumberFormat="1" applyFont="1" applyAlignment="1">
      <alignment vertical="center"/>
    </xf>
    <xf numFmtId="0" fontId="24" fillId="0" borderId="0" xfId="0" applyFont="1" applyAlignment="1">
      <alignment vertical="center"/>
    </xf>
    <xf numFmtId="164" fontId="23" fillId="13" borderId="3" xfId="0" applyNumberFormat="1" applyFont="1" applyFill="1" applyBorder="1" applyAlignment="1">
      <alignment vertical="center"/>
    </xf>
    <xf numFmtId="10" fontId="23" fillId="13" borderId="3" xfId="0" applyNumberFormat="1" applyFont="1" applyFill="1" applyBorder="1" applyAlignment="1">
      <alignment vertical="center"/>
    </xf>
    <xf numFmtId="164" fontId="23" fillId="13" borderId="3" xfId="0" applyNumberFormat="1" applyFont="1" applyFill="1" applyBorder="1"/>
    <xf numFmtId="10" fontId="23" fillId="13" borderId="3" xfId="0" applyNumberFormat="1" applyFont="1" applyFill="1" applyBorder="1"/>
    <xf numFmtId="166" fontId="23" fillId="13" borderId="3" xfId="0" applyNumberFormat="1" applyFont="1" applyFill="1" applyBorder="1" applyAlignment="1">
      <alignment vertical="center"/>
    </xf>
    <xf numFmtId="0" fontId="30" fillId="7" borderId="3" xfId="0" applyFont="1" applyFill="1" applyBorder="1" applyAlignment="1">
      <alignment horizontal="center" vertical="center"/>
    </xf>
    <xf numFmtId="10" fontId="18" fillId="13" borderId="0" xfId="0" applyNumberFormat="1" applyFont="1" applyFill="1" applyAlignment="1">
      <alignment vertical="center"/>
    </xf>
    <xf numFmtId="168" fontId="31" fillId="13" borderId="0" xfId="0" applyNumberFormat="1" applyFont="1" applyFill="1" applyAlignment="1">
      <alignment vertical="center"/>
    </xf>
    <xf numFmtId="167" fontId="24" fillId="0" borderId="0" xfId="0" applyNumberFormat="1" applyFont="1" applyAlignment="1">
      <alignment vertical="center"/>
    </xf>
    <xf numFmtId="168" fontId="24" fillId="0" borderId="0" xfId="0" applyNumberFormat="1" applyFont="1" applyAlignment="1">
      <alignment vertical="center"/>
    </xf>
    <xf numFmtId="168" fontId="26" fillId="0" borderId="0" xfId="0" applyNumberFormat="1" applyFont="1" applyAlignment="1">
      <alignment vertical="center"/>
    </xf>
    <xf numFmtId="166" fontId="23" fillId="9" borderId="3" xfId="0" applyNumberFormat="1" applyFont="1" applyFill="1" applyBorder="1" applyAlignment="1">
      <alignment vertical="center"/>
    </xf>
    <xf numFmtId="10" fontId="23" fillId="9" borderId="3" xfId="0" applyNumberFormat="1" applyFont="1" applyFill="1" applyBorder="1" applyAlignment="1">
      <alignment vertical="center"/>
    </xf>
    <xf numFmtId="0" fontId="32" fillId="15" borderId="0" xfId="0" applyFont="1" applyFill="1" applyAlignment="1">
      <alignment horizontal="center" vertical="center"/>
    </xf>
    <xf numFmtId="0" fontId="33" fillId="0" borderId="0" xfId="0" applyFont="1" applyAlignment="1">
      <alignment vertical="center"/>
    </xf>
    <xf numFmtId="0" fontId="20" fillId="0" borderId="0" xfId="1" applyFont="1"/>
    <xf numFmtId="0" fontId="34" fillId="2" borderId="0" xfId="0" applyFont="1" applyFill="1"/>
    <xf numFmtId="166" fontId="23" fillId="6" borderId="3" xfId="0" applyNumberFormat="1" applyFont="1" applyFill="1" applyBorder="1"/>
    <xf numFmtId="10" fontId="23" fillId="6" borderId="3" xfId="0" applyNumberFormat="1" applyFont="1" applyFill="1" applyBorder="1"/>
    <xf numFmtId="164" fontId="23" fillId="6" borderId="3" xfId="0" applyNumberFormat="1" applyFont="1" applyFill="1" applyBorder="1"/>
    <xf numFmtId="0" fontId="19" fillId="11" borderId="0" xfId="0" applyFont="1" applyFill="1"/>
    <xf numFmtId="0" fontId="18" fillId="11" borderId="0" xfId="0" applyFont="1" applyFill="1"/>
    <xf numFmtId="10" fontId="19" fillId="2" borderId="0" xfId="0" applyNumberFormat="1" applyFont="1" applyFill="1"/>
    <xf numFmtId="10" fontId="31" fillId="6" borderId="0" xfId="0" applyNumberFormat="1" applyFont="1" applyFill="1"/>
    <xf numFmtId="170" fontId="18" fillId="12" borderId="0" xfId="0" applyNumberFormat="1" applyFont="1" applyFill="1"/>
    <xf numFmtId="0" fontId="18" fillId="12" borderId="0" xfId="0" applyFont="1" applyFill="1"/>
    <xf numFmtId="170" fontId="18" fillId="0" borderId="0" xfId="0" applyNumberFormat="1" applyFont="1"/>
    <xf numFmtId="0" fontId="18" fillId="0" borderId="1" xfId="0" applyFont="1" applyBorder="1"/>
    <xf numFmtId="15" fontId="18" fillId="0" borderId="0" xfId="0" applyNumberFormat="1" applyFont="1"/>
    <xf numFmtId="0" fontId="34" fillId="6" borderId="0" xfId="0" applyFont="1" applyFill="1"/>
    <xf numFmtId="166" fontId="31" fillId="9" borderId="0" xfId="0" applyNumberFormat="1" applyFont="1" applyFill="1" applyAlignment="1">
      <alignment vertical="center"/>
    </xf>
    <xf numFmtId="10" fontId="31" fillId="9" borderId="0" xfId="0" applyNumberFormat="1" applyFont="1" applyFill="1" applyAlignment="1">
      <alignment vertical="center"/>
    </xf>
    <xf numFmtId="167" fontId="31" fillId="9" borderId="0" xfId="0" applyNumberFormat="1" applyFont="1" applyFill="1" applyAlignment="1">
      <alignment vertical="center"/>
    </xf>
    <xf numFmtId="0" fontId="35" fillId="16" borderId="4" xfId="0" applyFont="1" applyFill="1" applyBorder="1"/>
    <xf numFmtId="0" fontId="36" fillId="0" borderId="0" xfId="0" applyFont="1"/>
    <xf numFmtId="169" fontId="2" fillId="0" borderId="0" xfId="0" applyNumberFormat="1" applyFont="1" applyAlignment="1">
      <alignment horizontal="left"/>
    </xf>
    <xf numFmtId="171" fontId="18" fillId="12" borderId="0" xfId="0" applyNumberFormat="1" applyFont="1" applyFill="1"/>
    <xf numFmtId="0" fontId="16" fillId="8" borderId="0" xfId="0" applyFont="1" applyFill="1" applyAlignment="1">
      <alignment horizontal="left" vertical="center"/>
    </xf>
    <xf numFmtId="0" fontId="17" fillId="8" borderId="0" xfId="0" applyFont="1" applyFill="1" applyAlignment="1">
      <alignment horizontal="left" vertical="center"/>
    </xf>
    <xf numFmtId="0" fontId="19" fillId="3" borderId="2" xfId="0" applyFont="1" applyFill="1" applyBorder="1" applyAlignment="1">
      <alignment horizontal="left"/>
    </xf>
    <xf numFmtId="0" fontId="25" fillId="9" borderId="5" xfId="0" applyFont="1" applyFill="1" applyBorder="1" applyAlignment="1">
      <alignment vertical="top" wrapText="1"/>
    </xf>
    <xf numFmtId="0" fontId="25" fillId="9" borderId="6" xfId="0" applyFont="1" applyFill="1" applyBorder="1" applyAlignment="1">
      <alignment vertical="top" wrapText="1"/>
    </xf>
    <xf numFmtId="0" fontId="25" fillId="9" borderId="7" xfId="0" applyFont="1" applyFill="1" applyBorder="1" applyAlignment="1">
      <alignment vertical="top" wrapText="1"/>
    </xf>
    <xf numFmtId="0" fontId="25" fillId="9" borderId="8" xfId="0" applyFont="1" applyFill="1" applyBorder="1" applyAlignment="1">
      <alignment vertical="top" wrapText="1"/>
    </xf>
    <xf numFmtId="0" fontId="25" fillId="9" borderId="9" xfId="0" applyFont="1" applyFill="1" applyBorder="1" applyAlignment="1">
      <alignment vertical="top" wrapText="1"/>
    </xf>
    <xf numFmtId="0" fontId="25" fillId="9" borderId="10" xfId="0" applyFont="1" applyFill="1" applyBorder="1" applyAlignment="1">
      <alignment vertical="top" wrapText="1"/>
    </xf>
    <xf numFmtId="0" fontId="21" fillId="2" borderId="2" xfId="0" applyFont="1" applyFill="1" applyBorder="1" applyAlignment="1">
      <alignment vertical="center"/>
    </xf>
    <xf numFmtId="0" fontId="26" fillId="0" borderId="2" xfId="0" applyFont="1" applyBorder="1" applyAlignment="1">
      <alignment vertical="top" wrapText="1"/>
    </xf>
    <xf numFmtId="0" fontId="21" fillId="2" borderId="2" xfId="0" applyFont="1" applyFill="1" applyBorder="1"/>
    <xf numFmtId="0" fontId="25" fillId="11" borderId="2" xfId="0" applyFont="1" applyFill="1" applyBorder="1" applyAlignment="1">
      <alignment vertical="top" wrapText="1"/>
    </xf>
    <xf numFmtId="0" fontId="25" fillId="10" borderId="2" xfId="0" applyFont="1" applyFill="1" applyBorder="1" applyAlignment="1">
      <alignment vertical="top" wrapText="1"/>
    </xf>
    <xf numFmtId="0" fontId="29" fillId="9" borderId="0" xfId="0" applyFont="1" applyFill="1" applyAlignment="1">
      <alignment horizontal="left" vertical="center"/>
    </xf>
    <xf numFmtId="0" fontId="17" fillId="9" borderId="0" xfId="0" applyFont="1" applyFill="1" applyAlignment="1">
      <alignment horizontal="left" vertical="center"/>
    </xf>
    <xf numFmtId="10" fontId="25" fillId="14" borderId="2" xfId="0" applyNumberFormat="1" applyFont="1" applyFill="1" applyBorder="1" applyAlignment="1">
      <alignment vertical="top" wrapText="1"/>
    </xf>
    <xf numFmtId="0" fontId="25" fillId="4" borderId="2" xfId="0" applyFont="1" applyFill="1" applyBorder="1" applyAlignment="1">
      <alignment vertical="top" wrapText="1"/>
    </xf>
    <xf numFmtId="0" fontId="25" fillId="17" borderId="2" xfId="0" applyFont="1" applyFill="1" applyBorder="1" applyAlignment="1">
      <alignment vertical="top" wrapText="1"/>
    </xf>
    <xf numFmtId="0" fontId="26" fillId="0" borderId="2" xfId="0" quotePrefix="1" applyFont="1" applyBorder="1" applyAlignment="1">
      <alignment vertical="top" wrapText="1"/>
    </xf>
    <xf numFmtId="0" fontId="3" fillId="18" borderId="0" xfId="0" applyFont="1" applyFill="1" applyAlignment="1">
      <alignment horizontal="left" vertical="center"/>
    </xf>
    <xf numFmtId="0" fontId="11" fillId="18" borderId="0" xfId="0" applyFont="1" applyFill="1" applyAlignment="1">
      <alignment horizontal="left" vertical="center"/>
    </xf>
    <xf numFmtId="0" fontId="4" fillId="19" borderId="2" xfId="0" applyFont="1" applyFill="1" applyBorder="1" applyAlignment="1">
      <alignment horizontal="left"/>
    </xf>
    <xf numFmtId="0" fontId="7" fillId="20" borderId="2" xfId="0" applyFont="1" applyFill="1" applyBorder="1" applyAlignment="1">
      <alignment vertical="top" wrapText="1"/>
    </xf>
    <xf numFmtId="0" fontId="37" fillId="0" borderId="0" xfId="2" applyAlignment="1">
      <alignment vertical="center"/>
    </xf>
    <xf numFmtId="0" fontId="37" fillId="0" borderId="1" xfId="2" applyBorder="1" applyAlignment="1">
      <alignment vertical="center"/>
    </xf>
    <xf numFmtId="0" fontId="2" fillId="0" borderId="0" xfId="0" applyFont="1" applyBorder="1" applyAlignment="1">
      <alignment vertical="center"/>
    </xf>
    <xf numFmtId="0" fontId="2" fillId="0" borderId="0" xfId="0" applyFont="1" applyBorder="1"/>
    <xf numFmtId="0" fontId="7" fillId="20" borderId="0" xfId="0" applyFont="1" applyFill="1" applyBorder="1" applyAlignment="1">
      <alignment vertical="top" wrapText="1"/>
    </xf>
    <xf numFmtId="0" fontId="4" fillId="19" borderId="0" xfId="0" applyFont="1" applyFill="1" applyBorder="1" applyAlignment="1">
      <alignment horizontal="left"/>
    </xf>
  </cellXfs>
  <cellStyles count="3">
    <cellStyle name="Hyperlink" xfId="2" builtinId="8"/>
    <cellStyle name="Hyperlink 1" xfId="1" xr:uid="{00000000-0005-0000-0000-000006000000}"/>
    <cellStyle name="Normal" xfId="0" builtinId="0"/>
  </cellStyles>
  <dxfs count="0"/>
  <tableStyles count="0" defaultTableStyle="TableStyleMedium2" defaultPivotStyle="PivotStyleLight16"/>
  <colors>
    <indexedColors>
      <rgbColor rgb="FF000000"/>
      <rgbColor rgb="FFFFFFFF"/>
      <rgbColor rgb="FFCC0000"/>
      <rgbColor rgb="FF7A9346"/>
      <rgbColor rgb="FF0000FF"/>
      <rgbColor rgb="FF9BBB59"/>
      <rgbColor rgb="FFFF00FF"/>
      <rgbColor rgb="FF00FFFF"/>
      <rgbColor rgb="FF666666"/>
      <rgbColor rgb="FF008000"/>
      <rgbColor rgb="FF000080"/>
      <rgbColor rgb="FF5F7530"/>
      <rgbColor rgb="FFBE4B48"/>
      <rgbColor rgb="FF4A7EBB"/>
      <rgbColor rgb="FFB5C3DB"/>
      <rgbColor rgb="FF878787"/>
      <rgbColor rgb="FF7E9BC7"/>
      <rgbColor rgb="FF973F3C"/>
      <rgbColor rgb="FFFFF2CC"/>
      <rgbColor rgb="FFD9EAF7"/>
      <rgbColor rgb="FF654E7F"/>
      <rgbColor rgb="FFE78C41"/>
      <rgbColor rgb="FF3E6595"/>
      <rgbColor rgb="FFD9D9D9"/>
      <rgbColor rgb="FF000080"/>
      <rgbColor rgb="FFFF00FF"/>
      <rgbColor rgb="FF91AF53"/>
      <rgbColor rgb="FF00FFFF"/>
      <rgbColor rgb="FFC0504D"/>
      <rgbColor rgb="FF8064A2"/>
      <rgbColor rgb="FF4F81BD"/>
      <rgbColor rgb="FF0000FF"/>
      <rgbColor rgb="FF46A1B9"/>
      <rgbColor rgb="FFE4DFEC"/>
      <rgbColor rgb="FFADC683"/>
      <rgbColor rgb="FFFCE4D6"/>
      <rgbColor rgb="FF7CBACF"/>
      <rgbColor rgb="FFDDB5B5"/>
      <rgbColor rgb="FFCA7E7D"/>
      <rgbColor rgb="FFFFCCCC"/>
      <rgbColor rgb="FF4978B1"/>
      <rgbColor rgb="FF4BACC6"/>
      <rgbColor rgb="FF98B855"/>
      <rgbColor rgb="FFF8AA7A"/>
      <rgbColor rgb="FFF79646"/>
      <rgbColor rgb="FFC27637"/>
      <rgbColor rgb="FF775D97"/>
      <rgbColor rgb="FF9A89B2"/>
      <rgbColor rgb="FF1F3864"/>
      <rgbColor rgb="FF3B879C"/>
      <rgbColor rgb="FF0F243E"/>
      <rgbColor rgb="FF595959"/>
      <rgbColor rgb="FF772C2A"/>
      <rgbColor rgb="FFB34A48"/>
      <rgbColor rgb="FF2C4D75"/>
      <rgbColor rgb="FF4D3B62"/>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 PV Sensitivity to Discount Rate</a:t>
            </a:r>
          </a:p>
        </c:rich>
      </c:tx>
      <c:overlay val="0"/>
      <c:spPr>
        <a:noFill/>
        <a:ln w="0">
          <a:noFill/>
        </a:ln>
      </c:spPr>
    </c:title>
    <c:autoTitleDeleted val="0"/>
    <c:plotArea>
      <c:layout/>
      <c:lineChart>
        <c:grouping val="standard"/>
        <c:varyColors val="0"/>
        <c:ser>
          <c:idx val="0"/>
          <c:order val="0"/>
          <c:tx>
            <c:strRef>
              <c:f>Q5_i_Annuity!$E$6</c:f>
              <c:strCache>
                <c:ptCount val="1"/>
                <c:pt idx="0">
                  <c:v>PV ordinary</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Q5_i_Annuity!$D$7:$D$15</c:f>
              <c:numCache>
                <c:formatCode>0.0%</c:formatCode>
                <c:ptCount val="9"/>
                <c:pt idx="0">
                  <c:v>0.03</c:v>
                </c:pt>
                <c:pt idx="1">
                  <c:v>0.04</c:v>
                </c:pt>
                <c:pt idx="2">
                  <c:v>0.05</c:v>
                </c:pt>
                <c:pt idx="3">
                  <c:v>0.06</c:v>
                </c:pt>
                <c:pt idx="4">
                  <c:v>7.0000000000000007E-2</c:v>
                </c:pt>
                <c:pt idx="5">
                  <c:v>0.08</c:v>
                </c:pt>
                <c:pt idx="6">
                  <c:v>0.09</c:v>
                </c:pt>
                <c:pt idx="7">
                  <c:v>0.1</c:v>
                </c:pt>
                <c:pt idx="8">
                  <c:v>0.11</c:v>
                </c:pt>
              </c:numCache>
            </c:numRef>
          </c:cat>
          <c:val>
            <c:numRef>
              <c:f>Q5_i_Annuity!$E$7:$E$15</c:f>
              <c:numCache>
                <c:formatCode>#,##0.00</c:formatCode>
                <c:ptCount val="9"/>
                <c:pt idx="0">
                  <c:v>50230.977356475065</c:v>
                </c:pt>
                <c:pt idx="1">
                  <c:v>47467.449366850349</c:v>
                </c:pt>
                <c:pt idx="2">
                  <c:v>44914.351135348261</c:v>
                </c:pt>
                <c:pt idx="3">
                  <c:v>42553.192056985215</c:v>
                </c:pt>
                <c:pt idx="4">
                  <c:v>40367.251611903775</c:v>
                </c:pt>
                <c:pt idx="5">
                  <c:v>38341.399464694296</c:v>
                </c:pt>
                <c:pt idx="6">
                  <c:v>36461.934708246088</c:v>
                </c:pt>
                <c:pt idx="7">
                  <c:v>34716.442136712241</c:v>
                </c:pt>
                <c:pt idx="8">
                  <c:v>33093.663673570445</c:v>
                </c:pt>
              </c:numCache>
            </c:numRef>
          </c:val>
          <c:smooth val="1"/>
          <c:extLst>
            <c:ext xmlns:c16="http://schemas.microsoft.com/office/drawing/2014/chart" uri="{C3380CC4-5D6E-409C-BE32-E72D297353CC}">
              <c16:uniqueId val="{00000000-6F67-48EF-9CB5-EAC3C3BC19DC}"/>
            </c:ext>
          </c:extLst>
        </c:ser>
        <c:dLbls>
          <c:showLegendKey val="0"/>
          <c:showVal val="0"/>
          <c:showCatName val="0"/>
          <c:showSerName val="0"/>
          <c:showPercent val="0"/>
          <c:showBubbleSize val="0"/>
        </c:dLbls>
        <c:hiLowLines>
          <c:spPr>
            <a:ln w="0">
              <a:noFill/>
            </a:ln>
          </c:spPr>
        </c:hiLowLines>
        <c:smooth val="0"/>
        <c:axId val="73454152"/>
        <c:axId val="54435720"/>
      </c:lineChart>
      <c:catAx>
        <c:axId val="73454152"/>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Annual Discount Rate</a:t>
                </a:r>
              </a:p>
            </c:rich>
          </c:tx>
          <c:overlay val="0"/>
          <c:spPr>
            <a:noFill/>
            <a:ln w="0">
              <a:noFill/>
            </a:ln>
          </c:spPr>
        </c:title>
        <c:numFmt formatCode="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54435720"/>
        <c:crosses val="autoZero"/>
        <c:auto val="1"/>
        <c:lblAlgn val="ctr"/>
        <c:lblOffset val="100"/>
        <c:noMultiLvlLbl val="0"/>
      </c:catAx>
      <c:valAx>
        <c:axId val="54435720"/>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Present Value (€)</a:t>
                </a:r>
              </a:p>
            </c:rich>
          </c:tx>
          <c:overlay val="0"/>
          <c:spPr>
            <a:noFill/>
            <a:ln w="0">
              <a:noFill/>
            </a:ln>
          </c:spPr>
        </c:title>
        <c:numFmt formatCode="#,##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73454152"/>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 PV Sensitivity to Tenor</a:t>
            </a:r>
          </a:p>
        </c:rich>
      </c:tx>
      <c:overlay val="0"/>
      <c:spPr>
        <a:noFill/>
        <a:ln w="0">
          <a:noFill/>
        </a:ln>
      </c:spPr>
    </c:title>
    <c:autoTitleDeleted val="0"/>
    <c:plotArea>
      <c:layout/>
      <c:lineChart>
        <c:grouping val="standard"/>
        <c:varyColors val="0"/>
        <c:ser>
          <c:idx val="0"/>
          <c:order val="0"/>
          <c:tx>
            <c:strRef>
              <c:f>Q5_i_Annuity!$H$6</c:f>
              <c:strCache>
                <c:ptCount val="1"/>
                <c:pt idx="0">
                  <c:v>PV ordinary</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Q5_i_Annuity!$G$7:$G$16</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Q5_i_Annuity!$H$7:$H$16</c:f>
              <c:numCache>
                <c:formatCode>#,##0.00</c:formatCode>
                <c:ptCount val="10"/>
                <c:pt idx="0">
                  <c:v>9316.7731013193024</c:v>
                </c:pt>
                <c:pt idx="1">
                  <c:v>17522.477261563836</c:v>
                </c:pt>
                <c:pt idx="2">
                  <c:v>24749.612669199727</c:v>
                </c:pt>
                <c:pt idx="3">
                  <c:v>31114.878243037794</c:v>
                </c:pt>
                <c:pt idx="4">
                  <c:v>36721.056007837928</c:v>
                </c:pt>
                <c:pt idx="5">
                  <c:v>41658.670749274177</c:v>
                </c:pt>
                <c:pt idx="6">
                  <c:v>46007.451747251973</c:v>
                </c:pt>
                <c:pt idx="7">
                  <c:v>49837.620190663525</c:v>
                </c:pt>
                <c:pt idx="8">
                  <c:v>53211.02306188822</c:v>
                </c:pt>
                <c:pt idx="9" formatCode="\€#\ ##0.00;[Red]&quot;(€&quot;#\ ##0.00\);\-">
                  <c:v>56182.131800241994</c:v>
                </c:pt>
              </c:numCache>
            </c:numRef>
          </c:val>
          <c:smooth val="1"/>
          <c:extLst>
            <c:ext xmlns:c16="http://schemas.microsoft.com/office/drawing/2014/chart" uri="{C3380CC4-5D6E-409C-BE32-E72D297353CC}">
              <c16:uniqueId val="{00000000-0973-486A-9731-619F8DA54D83}"/>
            </c:ext>
          </c:extLst>
        </c:ser>
        <c:dLbls>
          <c:showLegendKey val="0"/>
          <c:showVal val="0"/>
          <c:showCatName val="0"/>
          <c:showSerName val="0"/>
          <c:showPercent val="0"/>
          <c:showBubbleSize val="0"/>
        </c:dLbls>
        <c:hiLowLines>
          <c:spPr>
            <a:ln w="0">
              <a:noFill/>
            </a:ln>
          </c:spPr>
        </c:hiLowLines>
        <c:smooth val="0"/>
        <c:axId val="35072572"/>
        <c:axId val="97480144"/>
      </c:lineChart>
      <c:catAx>
        <c:axId val="35072572"/>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Years</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97480144"/>
        <c:crosses val="autoZero"/>
        <c:auto val="1"/>
        <c:lblAlgn val="ctr"/>
        <c:lblOffset val="100"/>
        <c:noMultiLvlLbl val="0"/>
      </c:catAx>
      <c:valAx>
        <c:axId val="97480144"/>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Present Value (€)</a:t>
                </a:r>
              </a:p>
            </c:rich>
          </c:tx>
          <c:overlay val="0"/>
          <c:spPr>
            <a:noFill/>
            <a:ln w="0">
              <a:noFill/>
            </a:ln>
          </c:spPr>
        </c:title>
        <c:numFmt formatCode="#,##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35072572"/>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Q5(ii): Bond Price–Yield Curve (Convexity)</a:t>
            </a:r>
          </a:p>
        </c:rich>
      </c:tx>
      <c:overlay val="0"/>
      <c:spPr>
        <a:noFill/>
        <a:ln w="0">
          <a:noFill/>
        </a:ln>
      </c:spPr>
    </c:title>
    <c:autoTitleDeleted val="0"/>
    <c:plotArea>
      <c:layout/>
      <c:lineChart>
        <c:grouping val="standard"/>
        <c:varyColors val="0"/>
        <c:ser>
          <c:idx val="0"/>
          <c:order val="0"/>
          <c:tx>
            <c:strRef>
              <c:f>Q5_ii_Bond_Duration!$K$6</c:f>
              <c:strCache>
                <c:ptCount val="1"/>
                <c:pt idx="0">
                  <c:v>Price</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Q5_ii_Bond_Duration!$J$7:$J$13</c:f>
              <c:numCache>
                <c:formatCode>0.00%</c:formatCode>
                <c:ptCount val="7"/>
                <c:pt idx="0">
                  <c:v>0.03</c:v>
                </c:pt>
                <c:pt idx="1">
                  <c:v>0.04</c:v>
                </c:pt>
                <c:pt idx="2">
                  <c:v>0.05</c:v>
                </c:pt>
                <c:pt idx="3">
                  <c:v>0.06</c:v>
                </c:pt>
                <c:pt idx="4">
                  <c:v>7.0000000000000007E-2</c:v>
                </c:pt>
                <c:pt idx="5">
                  <c:v>0.08</c:v>
                </c:pt>
                <c:pt idx="6">
                  <c:v>0.09</c:v>
                </c:pt>
              </c:numCache>
            </c:numRef>
          </c:cat>
          <c:val>
            <c:numRef>
              <c:f>Q5_ii_Bond_Duration!$K$7:$K$13</c:f>
              <c:numCache>
                <c:formatCode>\€#\ ##0.00;[Red]"(€"#\ ##0.00\);\-</c:formatCode>
                <c:ptCount val="7"/>
                <c:pt idx="0">
                  <c:v>1175.6073410154381</c:v>
                </c:pt>
                <c:pt idx="1">
                  <c:v>1108.9562389352698</c:v>
                </c:pt>
                <c:pt idx="2">
                  <c:v>1046.7636486784063</c:v>
                </c:pt>
                <c:pt idx="3">
                  <c:v>988.70392686062064</c:v>
                </c:pt>
                <c:pt idx="4">
                  <c:v>934.47687833314399</c:v>
                </c:pt>
                <c:pt idx="5">
                  <c:v>883.80564777599659</c:v>
                </c:pt>
                <c:pt idx="6">
                  <c:v>836.434795455992</c:v>
                </c:pt>
              </c:numCache>
            </c:numRef>
          </c:val>
          <c:smooth val="1"/>
          <c:extLst>
            <c:ext xmlns:c16="http://schemas.microsoft.com/office/drawing/2014/chart" uri="{C3380CC4-5D6E-409C-BE32-E72D297353CC}">
              <c16:uniqueId val="{00000000-A5C5-4766-B519-0F5D6C1F5BEF}"/>
            </c:ext>
          </c:extLst>
        </c:ser>
        <c:dLbls>
          <c:showLegendKey val="0"/>
          <c:showVal val="0"/>
          <c:showCatName val="0"/>
          <c:showSerName val="0"/>
          <c:showPercent val="0"/>
          <c:showBubbleSize val="0"/>
        </c:dLbls>
        <c:hiLowLines>
          <c:spPr>
            <a:ln w="0">
              <a:noFill/>
            </a:ln>
          </c:spPr>
        </c:hiLowLines>
        <c:smooth val="0"/>
        <c:axId val="65552947"/>
        <c:axId val="19937185"/>
      </c:lineChart>
      <c:catAx>
        <c:axId val="65552947"/>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Yield to Maturity</a:t>
                </a:r>
              </a:p>
            </c:rich>
          </c:tx>
          <c:overlay val="0"/>
          <c:spPr>
            <a:noFill/>
            <a:ln w="0">
              <a:noFill/>
            </a:ln>
          </c:spPr>
        </c:title>
        <c:numFmt formatCode="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19937185"/>
        <c:crosses val="autoZero"/>
        <c:auto val="1"/>
        <c:lblAlgn val="ctr"/>
        <c:lblOffset val="100"/>
        <c:noMultiLvlLbl val="0"/>
      </c:catAx>
      <c:valAx>
        <c:axId val="19937185"/>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Bond Price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65552947"/>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Q5(ii): Modified Duration vs Yield</a:t>
            </a:r>
          </a:p>
        </c:rich>
      </c:tx>
      <c:overlay val="0"/>
      <c:spPr>
        <a:noFill/>
        <a:ln w="0">
          <a:noFill/>
        </a:ln>
      </c:spPr>
    </c:title>
    <c:autoTitleDeleted val="0"/>
    <c:plotArea>
      <c:layout/>
      <c:lineChart>
        <c:grouping val="standard"/>
        <c:varyColors val="0"/>
        <c:ser>
          <c:idx val="0"/>
          <c:order val="0"/>
          <c:tx>
            <c:strRef>
              <c:f>Q5_ii_Bond_Duration!$L$6</c:f>
              <c:strCache>
                <c:ptCount val="1"/>
                <c:pt idx="0">
                  <c:v>Mod. duration</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Q5_ii_Bond_Duration!$J$7:$J$13</c:f>
              <c:numCache>
                <c:formatCode>0.00%</c:formatCode>
                <c:ptCount val="7"/>
                <c:pt idx="0">
                  <c:v>0.03</c:v>
                </c:pt>
                <c:pt idx="1">
                  <c:v>0.04</c:v>
                </c:pt>
                <c:pt idx="2">
                  <c:v>0.05</c:v>
                </c:pt>
                <c:pt idx="3">
                  <c:v>0.06</c:v>
                </c:pt>
                <c:pt idx="4">
                  <c:v>7.0000000000000007E-2</c:v>
                </c:pt>
                <c:pt idx="5">
                  <c:v>0.08</c:v>
                </c:pt>
                <c:pt idx="6">
                  <c:v>0.09</c:v>
                </c:pt>
              </c:numCache>
            </c:numRef>
          </c:cat>
          <c:val>
            <c:numRef>
              <c:f>Q5_ii_Bond_Duration!$L$7:$L$13</c:f>
              <c:numCache>
                <c:formatCode>#\ ##0.00;[Red]\(#\ ##0.00\);\-</c:formatCode>
                <c:ptCount val="7"/>
                <c:pt idx="0">
                  <c:v>5.8689428391078566</c:v>
                </c:pt>
                <c:pt idx="1">
                  <c:v>5.8041370193205415</c:v>
                </c:pt>
                <c:pt idx="2">
                  <c:v>5.7390296675796053</c:v>
                </c:pt>
                <c:pt idx="3">
                  <c:v>5.6736261679175524</c:v>
                </c:pt>
                <c:pt idx="4">
                  <c:v>5.6079336016972983</c:v>
                </c:pt>
                <c:pt idx="5">
                  <c:v>5.5419607715517305</c:v>
                </c:pt>
                <c:pt idx="6">
                  <c:v>5.4757182183516697</c:v>
                </c:pt>
              </c:numCache>
            </c:numRef>
          </c:val>
          <c:smooth val="1"/>
          <c:extLst>
            <c:ext xmlns:c16="http://schemas.microsoft.com/office/drawing/2014/chart" uri="{C3380CC4-5D6E-409C-BE32-E72D297353CC}">
              <c16:uniqueId val="{00000000-FB87-450B-AAEB-FFA3A8CE50C0}"/>
            </c:ext>
          </c:extLst>
        </c:ser>
        <c:dLbls>
          <c:showLegendKey val="0"/>
          <c:showVal val="0"/>
          <c:showCatName val="0"/>
          <c:showSerName val="0"/>
          <c:showPercent val="0"/>
          <c:showBubbleSize val="0"/>
        </c:dLbls>
        <c:hiLowLines>
          <c:spPr>
            <a:ln w="0">
              <a:noFill/>
            </a:ln>
          </c:spPr>
        </c:hiLowLines>
        <c:smooth val="0"/>
        <c:axId val="30117772"/>
        <c:axId val="79045843"/>
      </c:lineChart>
      <c:catAx>
        <c:axId val="30117772"/>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Yield to Maturity</a:t>
                </a:r>
              </a:p>
            </c:rich>
          </c:tx>
          <c:overlay val="0"/>
          <c:spPr>
            <a:noFill/>
            <a:ln w="0">
              <a:noFill/>
            </a:ln>
          </c:spPr>
        </c:title>
        <c:numFmt formatCode="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79045843"/>
        <c:crosses val="autoZero"/>
        <c:auto val="1"/>
        <c:lblAlgn val="ctr"/>
        <c:lblOffset val="100"/>
        <c:noMultiLvlLbl val="0"/>
      </c:catAx>
      <c:valAx>
        <c:axId val="79045843"/>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Modified Duration (years)</a:t>
                </a:r>
              </a:p>
            </c:rich>
          </c:tx>
          <c:overlay val="0"/>
          <c:spPr>
            <a:noFill/>
            <a:ln w="0">
              <a:noFill/>
            </a:ln>
          </c:spPr>
        </c:title>
        <c:numFmt formatCode="#\ ##0.00;[Red]\(#\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30117772"/>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Q5(iii): Bisection Convergence (Error vs Iteration)</a:t>
            </a:r>
          </a:p>
        </c:rich>
      </c:tx>
      <c:overlay val="0"/>
      <c:spPr>
        <a:noFill/>
        <a:ln w="0">
          <a:noFill/>
        </a:ln>
      </c:spPr>
    </c:title>
    <c:autoTitleDeleted val="0"/>
    <c:plotArea>
      <c:layout/>
      <c:lineChart>
        <c:grouping val="standard"/>
        <c:varyColors val="0"/>
        <c:ser>
          <c:idx val="0"/>
          <c:order val="0"/>
          <c:tx>
            <c:strRef>
              <c:f>Q5_iii_YTM!$F$16</c:f>
              <c:strCache>
                <c:ptCount val="1"/>
                <c:pt idx="0">
                  <c:v>Error</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Q5_iii_YTM!$A$17:$A$30</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Q5_iii_YTM!$F$17:$F$30</c:f>
              <c:numCache>
                <c:formatCode>\€#\ ##0.00;[Red]"(€"#\ ##0.00\);\-</c:formatCode>
                <c:ptCount val="14"/>
                <c:pt idx="0">
                  <c:v>-130.90744860809855</c:v>
                </c:pt>
                <c:pt idx="1">
                  <c:v>34.618473525228296</c:v>
                </c:pt>
                <c:pt idx="2">
                  <c:v>-52.501024903053576</c:v>
                </c:pt>
                <c:pt idx="3">
                  <c:v>-10.094610087703018</c:v>
                </c:pt>
                <c:pt idx="4">
                  <c:v>11.965124431272329</c:v>
                </c:pt>
                <c:pt idx="5">
                  <c:v>0.86213547672571167</c:v>
                </c:pt>
                <c:pt idx="6">
                  <c:v>-4.6343845713657856</c:v>
                </c:pt>
                <c:pt idx="7">
                  <c:v>-1.8906779264904117</c:v>
                </c:pt>
                <c:pt idx="8">
                  <c:v>-0.51541164716320509</c:v>
                </c:pt>
                <c:pt idx="9">
                  <c:v>0.17307654907665437</c:v>
                </c:pt>
                <c:pt idx="10">
                  <c:v>-0.1712388579327353</c:v>
                </c:pt>
                <c:pt idx="11">
                  <c:v>9.0101428384059545E-4</c:v>
                </c:pt>
                <c:pt idx="12">
                  <c:v>-8.5173379138041128E-2</c:v>
                </c:pt>
                <c:pt idx="13">
                  <c:v>-4.2137296819078074E-2</c:v>
                </c:pt>
              </c:numCache>
            </c:numRef>
          </c:val>
          <c:smooth val="1"/>
          <c:extLst>
            <c:ext xmlns:c16="http://schemas.microsoft.com/office/drawing/2014/chart" uri="{C3380CC4-5D6E-409C-BE32-E72D297353CC}">
              <c16:uniqueId val="{00000000-547B-4648-8C82-BDC17201BE89}"/>
            </c:ext>
          </c:extLst>
        </c:ser>
        <c:dLbls>
          <c:showLegendKey val="0"/>
          <c:showVal val="0"/>
          <c:showCatName val="0"/>
          <c:showSerName val="0"/>
          <c:showPercent val="0"/>
          <c:showBubbleSize val="0"/>
        </c:dLbls>
        <c:hiLowLines>
          <c:spPr>
            <a:ln w="0">
              <a:noFill/>
            </a:ln>
          </c:spPr>
        </c:hiLowLines>
        <c:smooth val="0"/>
        <c:axId val="69180153"/>
        <c:axId val="5467404"/>
      </c:lineChart>
      <c:catAx>
        <c:axId val="69180153"/>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Iteration</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5467404"/>
        <c:crosses val="autoZero"/>
        <c:auto val="1"/>
        <c:lblAlgn val="ctr"/>
        <c:lblOffset val="100"/>
        <c:noMultiLvlLbl val="0"/>
      </c:catAx>
      <c:valAx>
        <c:axId val="5467404"/>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Pricing Error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69180153"/>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Q5(iv): Mortgage Balance Over Time</a:t>
            </a:r>
          </a:p>
        </c:rich>
      </c:tx>
      <c:overlay val="0"/>
      <c:spPr>
        <a:noFill/>
        <a:ln w="0">
          <a:noFill/>
        </a:ln>
      </c:spPr>
    </c:title>
    <c:autoTitleDeleted val="0"/>
    <c:plotArea>
      <c:layout/>
      <c:lineChart>
        <c:grouping val="standard"/>
        <c:varyColors val="0"/>
        <c:ser>
          <c:idx val="0"/>
          <c:order val="0"/>
          <c:tx>
            <c:strRef>
              <c:f>Q5_iv_Mortgage!$H$16</c:f>
              <c:strCache>
                <c:ptCount val="1"/>
                <c:pt idx="0">
                  <c:v>Closing bal.</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Q5_iv_Mortgage!$A$17:$A$316</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cat>
          <c:val>
            <c:numRef>
              <c:f>Q5_iv_Mortgage!$H$17:$H$316</c:f>
              <c:numCache>
                <c:formatCode>\€#\ ##0.00;[Red]"(€"#\ ##0.00\);\-</c:formatCode>
                <c:ptCount val="300"/>
                <c:pt idx="0">
                  <c:v>334257.44959302188</c:v>
                </c:pt>
                <c:pt idx="1">
                  <c:v>333512.02180321672</c:v>
                </c:pt>
                <c:pt idx="2">
                  <c:v>332763.70548072603</c:v>
                </c:pt>
                <c:pt idx="3">
                  <c:v>332012.48943248572</c:v>
                </c:pt>
                <c:pt idx="4">
                  <c:v>331258.36242205848</c:v>
                </c:pt>
                <c:pt idx="5">
                  <c:v>330501.31316946581</c:v>
                </c:pt>
                <c:pt idx="6">
                  <c:v>329741.33035101934</c:v>
                </c:pt>
                <c:pt idx="7">
                  <c:v>328978.40259915142</c:v>
                </c:pt>
                <c:pt idx="8">
                  <c:v>328212.51850224502</c:v>
                </c:pt>
                <c:pt idx="9">
                  <c:v>327443.66660446307</c:v>
                </c:pt>
                <c:pt idx="10">
                  <c:v>326671.83540557721</c:v>
                </c:pt>
                <c:pt idx="11">
                  <c:v>325897.01336079568</c:v>
                </c:pt>
                <c:pt idx="12">
                  <c:v>325119.18888059066</c:v>
                </c:pt>
                <c:pt idx="13">
                  <c:v>324338.35033052485</c:v>
                </c:pt>
                <c:pt idx="14">
                  <c:v>323554.48603107751</c:v>
                </c:pt>
                <c:pt idx="15">
                  <c:v>322767.5842574698</c:v>
                </c:pt>
                <c:pt idx="16">
                  <c:v>321977.6332394894</c:v>
                </c:pt>
                <c:pt idx="17">
                  <c:v>321184.62116131431</c:v>
                </c:pt>
                <c:pt idx="18">
                  <c:v>320388.53616133629</c:v>
                </c:pt>
                <c:pt idx="19">
                  <c:v>319589.36633198336</c:v>
                </c:pt>
                <c:pt idx="20">
                  <c:v>318787.09971954167</c:v>
                </c:pt>
                <c:pt idx="21">
                  <c:v>317981.72432397678</c:v>
                </c:pt>
                <c:pt idx="22">
                  <c:v>317173.22809875407</c:v>
                </c:pt>
                <c:pt idx="23">
                  <c:v>316361.59895065863</c:v>
                </c:pt>
                <c:pt idx="24">
                  <c:v>315546.82473961433</c:v>
                </c:pt>
                <c:pt idx="25">
                  <c:v>314728.89327850222</c:v>
                </c:pt>
                <c:pt idx="26">
                  <c:v>313907.79233297828</c:v>
                </c:pt>
                <c:pt idx="27">
                  <c:v>313083.50962129043</c:v>
                </c:pt>
                <c:pt idx="28">
                  <c:v>312256.0328140948</c:v>
                </c:pt>
                <c:pt idx="29">
                  <c:v>311425.34953427128</c:v>
                </c:pt>
                <c:pt idx="30">
                  <c:v>310591.44735673844</c:v>
                </c:pt>
                <c:pt idx="31">
                  <c:v>309754.3138082677</c:v>
                </c:pt>
                <c:pt idx="32">
                  <c:v>308913.93636729661</c:v>
                </c:pt>
                <c:pt idx="33">
                  <c:v>308070.30246374174</c:v>
                </c:pt>
                <c:pt idx="34">
                  <c:v>307223.39947881061</c:v>
                </c:pt>
                <c:pt idx="35">
                  <c:v>306373.21474481287</c:v>
                </c:pt>
                <c:pt idx="36">
                  <c:v>305519.7355449709</c:v>
                </c:pt>
                <c:pt idx="37">
                  <c:v>304662.94911322952</c:v>
                </c:pt>
                <c:pt idx="38">
                  <c:v>303802.84263406513</c:v>
                </c:pt>
                <c:pt idx="39">
                  <c:v>302939.40324229404</c:v>
                </c:pt>
                <c:pt idx="40">
                  <c:v>302072.61802287982</c:v>
                </c:pt>
                <c:pt idx="41">
                  <c:v>301202.47401074035</c:v>
                </c:pt>
                <c:pt idx="42">
                  <c:v>300328.95819055382</c:v>
                </c:pt>
                <c:pt idx="43">
                  <c:v>299452.05749656411</c:v>
                </c:pt>
                <c:pt idx="44">
                  <c:v>298571.75881238515</c:v>
                </c:pt>
                <c:pt idx="45">
                  <c:v>297688.04897080502</c:v>
                </c:pt>
                <c:pt idx="46">
                  <c:v>296800.91475358873</c:v>
                </c:pt>
                <c:pt idx="47">
                  <c:v>295910.34289128077</c:v>
                </c:pt>
                <c:pt idx="48">
                  <c:v>295016.32006300637</c:v>
                </c:pt>
                <c:pt idx="49">
                  <c:v>294118.83289627236</c:v>
                </c:pt>
                <c:pt idx="50">
                  <c:v>293217.86796676728</c:v>
                </c:pt>
                <c:pt idx="51">
                  <c:v>292313.41179816041</c:v>
                </c:pt>
                <c:pt idx="52">
                  <c:v>291405.45086190017</c:v>
                </c:pt>
                <c:pt idx="53">
                  <c:v>290493.97157701192</c:v>
                </c:pt>
                <c:pt idx="54">
                  <c:v>289578.9603098947</c:v>
                </c:pt>
                <c:pt idx="55">
                  <c:v>288660.40337411739</c:v>
                </c:pt>
                <c:pt idx="56">
                  <c:v>287738.28703021398</c:v>
                </c:pt>
                <c:pt idx="57">
                  <c:v>286812.59748547792</c:v>
                </c:pt>
                <c:pt idx="58">
                  <c:v>285883.320893756</c:v>
                </c:pt>
                <c:pt idx="59">
                  <c:v>284950.44335524115</c:v>
                </c:pt>
                <c:pt idx="60">
                  <c:v>284013.95091626456</c:v>
                </c:pt>
                <c:pt idx="61">
                  <c:v>283073.82956908696</c:v>
                </c:pt>
                <c:pt idx="62">
                  <c:v>282130.06525168906</c:v>
                </c:pt>
                <c:pt idx="63">
                  <c:v>281182.64384756121</c:v>
                </c:pt>
                <c:pt idx="64">
                  <c:v>280231.55118549237</c:v>
                </c:pt>
                <c:pt idx="65">
                  <c:v>279276.77303935803</c:v>
                </c:pt>
                <c:pt idx="66">
                  <c:v>278318.29512790742</c:v>
                </c:pt>
                <c:pt idx="67">
                  <c:v>277356.10311454994</c:v>
                </c:pt>
                <c:pt idx="68">
                  <c:v>276390.18260714068</c:v>
                </c:pt>
                <c:pt idx="69">
                  <c:v>275420.5191577652</c:v>
                </c:pt>
                <c:pt idx="70">
                  <c:v>274447.09826252342</c:v>
                </c:pt>
                <c:pt idx="71">
                  <c:v>273469.90536131256</c:v>
                </c:pt>
                <c:pt idx="72">
                  <c:v>272488.92583760951</c:v>
                </c:pt>
                <c:pt idx="73">
                  <c:v>271504.14501825214</c:v>
                </c:pt>
                <c:pt idx="74">
                  <c:v>270515.54817321972</c:v>
                </c:pt>
                <c:pt idx="75">
                  <c:v>269523.12051541283</c:v>
                </c:pt>
                <c:pt idx="76">
                  <c:v>268526.84720043192</c:v>
                </c:pt>
                <c:pt idx="77">
                  <c:v>267526.71332635544</c:v>
                </c:pt>
                <c:pt idx="78">
                  <c:v>266522.70393351692</c:v>
                </c:pt>
                <c:pt idx="79">
                  <c:v>265514.80400428118</c:v>
                </c:pt>
                <c:pt idx="80">
                  <c:v>264502.99846281961</c:v>
                </c:pt>
                <c:pt idx="81">
                  <c:v>263487.27217488491</c:v>
                </c:pt>
                <c:pt idx="82">
                  <c:v>262467.60994758445</c:v>
                </c:pt>
                <c:pt idx="83">
                  <c:v>261443.99652915323</c:v>
                </c:pt>
                <c:pt idx="84">
                  <c:v>260416.41660872556</c:v>
                </c:pt>
                <c:pt idx="85">
                  <c:v>259384.85481610624</c:v>
                </c:pt>
                <c:pt idx="86">
                  <c:v>258349.29572154052</c:v>
                </c:pt>
                <c:pt idx="87">
                  <c:v>257309.72383548337</c:v>
                </c:pt>
                <c:pt idx="88">
                  <c:v>256266.12360836775</c:v>
                </c:pt>
                <c:pt idx="89">
                  <c:v>255218.47943037204</c:v>
                </c:pt>
                <c:pt idx="90">
                  <c:v>254166.77563118661</c:v>
                </c:pt>
                <c:pt idx="91">
                  <c:v>253110.99647977934</c:v>
                </c:pt>
                <c:pt idx="92">
                  <c:v>252051.12618416036</c:v>
                </c:pt>
                <c:pt idx="93">
                  <c:v>250987.14889114586</c:v>
                </c:pt>
                <c:pt idx="94">
                  <c:v>249919.04868612092</c:v>
                </c:pt>
                <c:pt idx="95">
                  <c:v>248846.80959280152</c:v>
                </c:pt>
                <c:pt idx="96">
                  <c:v>247770.41557299549</c:v>
                </c:pt>
                <c:pt idx="97">
                  <c:v>246689.85052636272</c:v>
                </c:pt>
                <c:pt idx="98">
                  <c:v>245605.09829017424</c:v>
                </c:pt>
                <c:pt idx="99">
                  <c:v>244516.14263907055</c:v>
                </c:pt>
                <c:pt idx="100">
                  <c:v>243422.96728481882</c:v>
                </c:pt>
                <c:pt idx="101">
                  <c:v>242325.55587606935</c:v>
                </c:pt>
                <c:pt idx="102">
                  <c:v>241223.89199811098</c:v>
                </c:pt>
                <c:pt idx="103">
                  <c:v>240117.95917262553</c:v>
                </c:pt>
                <c:pt idx="104">
                  <c:v>239007.74085744133</c:v>
                </c:pt>
                <c:pt idx="105">
                  <c:v>237893.22044628579</c:v>
                </c:pt>
                <c:pt idx="106">
                  <c:v>236774.38126853702</c:v>
                </c:pt>
                <c:pt idx="107">
                  <c:v>235651.20658897448</c:v>
                </c:pt>
                <c:pt idx="108">
                  <c:v>234523.67960752864</c:v>
                </c:pt>
                <c:pt idx="109">
                  <c:v>233391.78345902968</c:v>
                </c:pt>
                <c:pt idx="110">
                  <c:v>232255.50121295531</c:v>
                </c:pt>
                <c:pt idx="111">
                  <c:v>231114.81587317737</c:v>
                </c:pt>
                <c:pt idx="112">
                  <c:v>229969.71037770782</c:v>
                </c:pt>
                <c:pt idx="113">
                  <c:v>228820.16759844331</c:v>
                </c:pt>
                <c:pt idx="114">
                  <c:v>227666.17034090916</c:v>
                </c:pt>
                <c:pt idx="115">
                  <c:v>226507.70134400204</c:v>
                </c:pt>
                <c:pt idx="116">
                  <c:v>225344.74327973192</c:v>
                </c:pt>
                <c:pt idx="117">
                  <c:v>224177.27875296277</c:v>
                </c:pt>
                <c:pt idx="118">
                  <c:v>223005.29030115236</c:v>
                </c:pt>
                <c:pt idx="119">
                  <c:v>221828.76039409119</c:v>
                </c:pt>
                <c:pt idx="120">
                  <c:v>220647.67143364018</c:v>
                </c:pt>
                <c:pt idx="121">
                  <c:v>219462.00575346741</c:v>
                </c:pt>
                <c:pt idx="122">
                  <c:v>218271.74561878399</c:v>
                </c:pt>
                <c:pt idx="123">
                  <c:v>217076.87322607863</c:v>
                </c:pt>
                <c:pt idx="124">
                  <c:v>215877.37070285156</c:v>
                </c:pt>
                <c:pt idx="125">
                  <c:v>214673.22010734698</c:v>
                </c:pt>
                <c:pt idx="126">
                  <c:v>213464.40342828483</c:v>
                </c:pt>
                <c:pt idx="127">
                  <c:v>212250.9025845913</c:v>
                </c:pt>
                <c:pt idx="128">
                  <c:v>211032.69942512846</c:v>
                </c:pt>
                <c:pt idx="129">
                  <c:v>209809.77572842271</c:v>
                </c:pt>
                <c:pt idx="130">
                  <c:v>208582.11320239221</c:v>
                </c:pt>
                <c:pt idx="131">
                  <c:v>207349.69348407336</c:v>
                </c:pt>
                <c:pt idx="132">
                  <c:v>206112.49813934602</c:v>
                </c:pt>
                <c:pt idx="133">
                  <c:v>204870.50866265787</c:v>
                </c:pt>
                <c:pt idx="134">
                  <c:v>203623.70647674755</c:v>
                </c:pt>
                <c:pt idx="135">
                  <c:v>202372.07293236683</c:v>
                </c:pt>
                <c:pt idx="136">
                  <c:v>201115.58930800162</c:v>
                </c:pt>
                <c:pt idx="137">
                  <c:v>199854.236809592</c:v>
                </c:pt>
                <c:pt idx="138">
                  <c:v>198587.99657025104</c:v>
                </c:pt>
                <c:pt idx="139">
                  <c:v>197316.84964998264</c:v>
                </c:pt>
                <c:pt idx="140">
                  <c:v>196040.77703539821</c:v>
                </c:pt>
                <c:pt idx="141">
                  <c:v>194759.75963943225</c:v>
                </c:pt>
                <c:pt idx="142">
                  <c:v>193473.77830105691</c:v>
                </c:pt>
                <c:pt idx="143">
                  <c:v>192182.81378499538</c:v>
                </c:pt>
                <c:pt idx="144">
                  <c:v>190886.84678143411</c:v>
                </c:pt>
                <c:pt idx="145">
                  <c:v>189585.85790573404</c:v>
                </c:pt>
                <c:pt idx="146">
                  <c:v>188279.82769814064</c:v>
                </c:pt>
                <c:pt idx="147">
                  <c:v>186968.73662349282</c:v>
                </c:pt>
                <c:pt idx="148">
                  <c:v>185652.56507093072</c:v>
                </c:pt>
                <c:pt idx="149">
                  <c:v>184331.29335360246</c:v>
                </c:pt>
                <c:pt idx="150">
                  <c:v>183004.90170836955</c:v>
                </c:pt>
                <c:pt idx="151">
                  <c:v>181673.37029551135</c:v>
                </c:pt>
                <c:pt idx="152">
                  <c:v>180336.67919842835</c:v>
                </c:pt>
                <c:pt idx="153">
                  <c:v>178994.80842334413</c:v>
                </c:pt>
                <c:pt idx="154">
                  <c:v>177647.73789900646</c:v>
                </c:pt>
                <c:pt idx="155">
                  <c:v>176295.44747638699</c:v>
                </c:pt>
                <c:pt idx="156">
                  <c:v>174937.91692837985</c:v>
                </c:pt>
                <c:pt idx="157">
                  <c:v>173575.1259494992</c:v>
                </c:pt>
                <c:pt idx="158">
                  <c:v>172207.05415557537</c:v>
                </c:pt>
                <c:pt idx="159">
                  <c:v>170833.68108345009</c:v>
                </c:pt>
                <c:pt idx="160">
                  <c:v>169454.98619067034</c:v>
                </c:pt>
                <c:pt idx="161">
                  <c:v>168070.94885518105</c:v>
                </c:pt>
                <c:pt idx="162">
                  <c:v>166681.54837501675</c:v>
                </c:pt>
                <c:pt idx="163">
                  <c:v>165286.76396799181</c:v>
                </c:pt>
                <c:pt idx="164">
                  <c:v>163886.57477138966</c:v>
                </c:pt>
                <c:pt idx="165">
                  <c:v>162480.95984165068</c:v>
                </c:pt>
                <c:pt idx="166">
                  <c:v>161069.89815405896</c:v>
                </c:pt>
                <c:pt idx="167">
                  <c:v>159653.3686024278</c:v>
                </c:pt>
                <c:pt idx="168">
                  <c:v>158231.34999878408</c:v>
                </c:pt>
                <c:pt idx="169">
                  <c:v>156803.82107305125</c:v>
                </c:pt>
                <c:pt idx="170">
                  <c:v>155370.7604727312</c:v>
                </c:pt>
                <c:pt idx="171">
                  <c:v>153932.14676258492</c:v>
                </c:pt>
                <c:pt idx="172">
                  <c:v>152487.9584243118</c:v>
                </c:pt>
                <c:pt idx="173">
                  <c:v>151038.17385622789</c:v>
                </c:pt>
                <c:pt idx="174">
                  <c:v>149582.77137294266</c:v>
                </c:pt>
                <c:pt idx="175">
                  <c:v>148121.72920503467</c:v>
                </c:pt>
                <c:pt idx="176">
                  <c:v>146655.02549872606</c:v>
                </c:pt>
                <c:pt idx="177">
                  <c:v>145182.63831555549</c:v>
                </c:pt>
                <c:pt idx="178">
                  <c:v>143704.54563205014</c:v>
                </c:pt>
                <c:pt idx="179">
                  <c:v>142220.72533939622</c:v>
                </c:pt>
                <c:pt idx="180">
                  <c:v>140731.15524310825</c:v>
                </c:pt>
                <c:pt idx="181">
                  <c:v>139235.81306269718</c:v>
                </c:pt>
                <c:pt idx="182">
                  <c:v>137734.67643133699</c:v>
                </c:pt>
                <c:pt idx="183">
                  <c:v>136227.72289553029</c:v>
                </c:pt>
                <c:pt idx="184">
                  <c:v>134714.92991477234</c:v>
                </c:pt>
                <c:pt idx="185">
                  <c:v>133196.27486121395</c:v>
                </c:pt>
                <c:pt idx="186">
                  <c:v>131671.73501932304</c:v>
                </c:pt>
                <c:pt idx="187">
                  <c:v>130141.28758554479</c:v>
                </c:pt>
                <c:pt idx="188">
                  <c:v>128604.90966796064</c:v>
                </c:pt>
                <c:pt idx="189">
                  <c:v>127062.57828594587</c:v>
                </c:pt>
                <c:pt idx="190">
                  <c:v>125514.27036982578</c:v>
                </c:pt>
                <c:pt idx="191">
                  <c:v>123959.96276053073</c:v>
                </c:pt>
                <c:pt idx="192">
                  <c:v>122399.63220924966</c:v>
                </c:pt>
                <c:pt idx="193">
                  <c:v>120833.25537708237</c:v>
                </c:pt>
                <c:pt idx="194">
                  <c:v>119260.80883469044</c:v>
                </c:pt>
                <c:pt idx="195">
                  <c:v>117682.26906194673</c:v>
                </c:pt>
                <c:pt idx="196">
                  <c:v>116097.61244758366</c:v>
                </c:pt>
                <c:pt idx="197">
                  <c:v>114506.81528883992</c:v>
                </c:pt>
                <c:pt idx="198">
                  <c:v>112909.85379110604</c:v>
                </c:pt>
                <c:pt idx="199">
                  <c:v>111306.70406756845</c:v>
                </c:pt>
                <c:pt idx="200">
                  <c:v>109697.34213885215</c:v>
                </c:pt>
                <c:pt idx="201">
                  <c:v>108081.74393266208</c:v>
                </c:pt>
                <c:pt idx="202">
                  <c:v>106459.88528342302</c:v>
                </c:pt>
                <c:pt idx="203">
                  <c:v>104831.74193191815</c:v>
                </c:pt>
                <c:pt idx="204">
                  <c:v>103197.28952492621</c:v>
                </c:pt>
                <c:pt idx="205">
                  <c:v>101556.50361485717</c:v>
                </c:pt>
                <c:pt idx="206">
                  <c:v>99909.35965938661</c:v>
                </c:pt>
                <c:pt idx="207">
                  <c:v>98255.833021088605</c:v>
                </c:pt>
                <c:pt idx="208">
                  <c:v>96595.898967067202</c:v>
                </c:pt>
                <c:pt idx="209">
                  <c:v>94929.532668586457</c:v>
                </c:pt>
                <c:pt idx="210">
                  <c:v>93256.709200699101</c:v>
                </c:pt>
                <c:pt idx="211">
                  <c:v>91577.403541873675</c:v>
                </c:pt>
                <c:pt idx="212">
                  <c:v>89891.590573620313</c:v>
                </c:pt>
                <c:pt idx="213">
                  <c:v>88199.245080114968</c:v>
                </c:pt>
                <c:pt idx="214">
                  <c:v>86500.341747822284</c:v>
                </c:pt>
                <c:pt idx="215">
                  <c:v>84794.855165116969</c:v>
                </c:pt>
                <c:pt idx="216">
                  <c:v>83082.759821903674</c:v>
                </c:pt>
                <c:pt idx="217">
                  <c:v>81364.03010923542</c:v>
                </c:pt>
                <c:pt idx="218">
                  <c:v>79638.640318930586</c:v>
                </c:pt>
                <c:pt idx="219">
                  <c:v>77906.564643188307</c:v>
                </c:pt>
                <c:pt idx="220">
                  <c:v>76167.777174202536</c:v>
                </c:pt>
                <c:pt idx="221">
                  <c:v>74422.25190377445</c:v>
                </c:pt>
                <c:pt idx="222">
                  <c:v>72669.962722923447</c:v>
                </c:pt>
                <c:pt idx="223">
                  <c:v>70910.883421496648</c:v>
                </c:pt>
                <c:pt idx="224">
                  <c:v>69144.987687776826</c:v>
                </c:pt>
                <c:pt idx="225">
                  <c:v>67372.249108088829</c:v>
                </c:pt>
                <c:pt idx="226">
                  <c:v>65592.641166404544</c:v>
                </c:pt>
                <c:pt idx="227">
                  <c:v>63806.137243946236</c:v>
                </c:pt>
                <c:pt idx="228">
                  <c:v>62012.710618788398</c:v>
                </c:pt>
                <c:pt idx="229">
                  <c:v>60212.334465458072</c:v>
                </c:pt>
                <c:pt idx="230">
                  <c:v>58404.981854533595</c:v>
                </c:pt>
                <c:pt idx="231">
                  <c:v>56590.625752241787</c:v>
                </c:pt>
                <c:pt idx="232">
                  <c:v>54769.239020053596</c:v>
                </c:pt>
                <c:pt idx="233">
                  <c:v>52940.794414278178</c:v>
                </c:pt>
                <c:pt idx="234">
                  <c:v>51105.264585655379</c:v>
                </c:pt>
                <c:pt idx="235">
                  <c:v>49262.622078946668</c:v>
                </c:pt>
                <c:pt idx="236">
                  <c:v>47412.839332524461</c:v>
                </c:pt>
                <c:pt idx="237">
                  <c:v>45555.888677959869</c:v>
                </c:pt>
                <c:pt idx="238">
                  <c:v>43691.742339608834</c:v>
                </c:pt>
                <c:pt idx="239">
                  <c:v>41820.372434196688</c:v>
                </c:pt>
                <c:pt idx="240">
                  <c:v>39941.750970401074</c:v>
                </c:pt>
                <c:pt idx="241">
                  <c:v>38055.849848433252</c:v>
                </c:pt>
                <c:pt idx="242">
                  <c:v>36162.640859617801</c:v>
                </c:pt>
                <c:pt idx="243">
                  <c:v>34262.095685970693</c:v>
                </c:pt>
                <c:pt idx="244">
                  <c:v>32354.185899775701</c:v>
                </c:pt>
                <c:pt idx="245">
                  <c:v>30438.882963159205</c:v>
                </c:pt>
                <c:pt idx="246">
                  <c:v>28516.15822766332</c:v>
                </c:pt>
                <c:pt idx="247">
                  <c:v>26585.982933817388</c:v>
                </c:pt>
                <c:pt idx="248">
                  <c:v>24648.328210707801</c:v>
                </c:pt>
                <c:pt idx="249">
                  <c:v>22703.165075546167</c:v>
                </c:pt>
                <c:pt idx="250">
                  <c:v>20750.464433235782</c:v>
                </c:pt>
                <c:pt idx="251">
                  <c:v>18790.197075936441</c:v>
                </c:pt>
                <c:pt idx="252">
                  <c:v>16822.333682627566</c:v>
                </c:pt>
                <c:pt idx="253">
                  <c:v>14846.844818669621</c:v>
                </c:pt>
                <c:pt idx="254">
                  <c:v>12863.700935363837</c:v>
                </c:pt>
                <c:pt idx="255">
                  <c:v>10872.872369510244</c:v>
                </c:pt>
                <c:pt idx="256">
                  <c:v>8874.3293429639671</c:v>
                </c:pt>
                <c:pt idx="257">
                  <c:v>6868.0419621898245</c:v>
                </c:pt>
                <c:pt idx="258">
                  <c:v>4853.9802178151822</c:v>
                </c:pt>
                <c:pt idx="259">
                  <c:v>2832.1139841810882</c:v>
                </c:pt>
                <c:pt idx="260">
                  <c:v>802.4130188916622</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1"/>
          <c:extLst>
            <c:ext xmlns:c16="http://schemas.microsoft.com/office/drawing/2014/chart" uri="{C3380CC4-5D6E-409C-BE32-E72D297353CC}">
              <c16:uniqueId val="{00000000-64C6-47AE-8968-6E8C4EFB4B69}"/>
            </c:ext>
          </c:extLst>
        </c:ser>
        <c:dLbls>
          <c:showLegendKey val="0"/>
          <c:showVal val="0"/>
          <c:showCatName val="0"/>
          <c:showSerName val="0"/>
          <c:showPercent val="0"/>
          <c:showBubbleSize val="0"/>
        </c:dLbls>
        <c:hiLowLines>
          <c:spPr>
            <a:ln w="0">
              <a:noFill/>
            </a:ln>
          </c:spPr>
        </c:hiLowLines>
        <c:smooth val="0"/>
        <c:axId val="99558898"/>
        <c:axId val="81899406"/>
      </c:lineChart>
      <c:catAx>
        <c:axId val="99558898"/>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Payment Number</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81899406"/>
        <c:crosses val="autoZero"/>
        <c:auto val="1"/>
        <c:lblAlgn val="ctr"/>
        <c:lblOffset val="100"/>
        <c:noMultiLvlLbl val="0"/>
      </c:catAx>
      <c:valAx>
        <c:axId val="81899406"/>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Closing Balance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99558898"/>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Q5(iv): Interest vs Principal Decomposition</a:t>
            </a:r>
          </a:p>
        </c:rich>
      </c:tx>
      <c:overlay val="0"/>
      <c:spPr>
        <a:noFill/>
        <a:ln w="0">
          <a:noFill/>
        </a:ln>
      </c:spPr>
    </c:title>
    <c:autoTitleDeleted val="0"/>
    <c:plotArea>
      <c:layout/>
      <c:lineChart>
        <c:grouping val="standard"/>
        <c:varyColors val="0"/>
        <c:ser>
          <c:idx val="0"/>
          <c:order val="0"/>
          <c:tx>
            <c:strRef>
              <c:f>Q5_iv_Mortgage!$D$16</c:f>
              <c:strCache>
                <c:ptCount val="1"/>
                <c:pt idx="0">
                  <c:v>Interest</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Q5_iv_Mortgage!$A$17:$A$316</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cat>
          <c:val>
            <c:numRef>
              <c:f>Q5_iv_Mortgage!$D$17:$D$316</c:f>
              <c:numCache>
                <c:formatCode>\€#\ ##0.00;[Red]"(€"#\ ##0.00\);\-</c:formatCode>
                <c:ptCount val="300"/>
                <c:pt idx="0">
                  <c:v>1298.125</c:v>
                </c:pt>
                <c:pt idx="1">
                  <c:v>1295.2476171729597</c:v>
                </c:pt>
                <c:pt idx="2">
                  <c:v>1292.3590844874648</c:v>
                </c:pt>
                <c:pt idx="3">
                  <c:v>1289.4593587378133</c:v>
                </c:pt>
                <c:pt idx="4">
                  <c:v>1286.5483965508822</c:v>
                </c:pt>
                <c:pt idx="5">
                  <c:v>1283.6261543854766</c:v>
                </c:pt>
                <c:pt idx="6">
                  <c:v>1280.69258853168</c:v>
                </c:pt>
                <c:pt idx="7">
                  <c:v>1277.7476551102</c:v>
                </c:pt>
                <c:pt idx="8">
                  <c:v>1274.7913100717117</c:v>
                </c:pt>
                <c:pt idx="9">
                  <c:v>1271.8235091961994</c:v>
                </c:pt>
                <c:pt idx="10">
                  <c:v>1268.8442080922944</c:v>
                </c:pt>
                <c:pt idx="11">
                  <c:v>1265.8533621966117</c:v>
                </c:pt>
                <c:pt idx="12">
                  <c:v>1262.8509267730833</c:v>
                </c:pt>
                <c:pt idx="13">
                  <c:v>1259.8368569122888</c:v>
                </c:pt>
                <c:pt idx="14">
                  <c:v>1256.8111075307838</c:v>
                </c:pt>
                <c:pt idx="15">
                  <c:v>1253.7736333704254</c:v>
                </c:pt>
                <c:pt idx="16">
                  <c:v>1250.7243889976955</c:v>
                </c:pt>
                <c:pt idx="17">
                  <c:v>1247.6633288030214</c:v>
                </c:pt>
                <c:pt idx="18">
                  <c:v>1244.5904070000929</c:v>
                </c:pt>
                <c:pt idx="19">
                  <c:v>1241.5055776251781</c:v>
                </c:pt>
                <c:pt idx="20">
                  <c:v>1238.4087945364356</c:v>
                </c:pt>
                <c:pt idx="21">
                  <c:v>1235.300011413224</c:v>
                </c:pt>
                <c:pt idx="22">
                  <c:v>1232.1791817554101</c:v>
                </c:pt>
                <c:pt idx="23">
                  <c:v>1229.046258882672</c:v>
                </c:pt>
                <c:pt idx="24">
                  <c:v>1225.9011959338022</c:v>
                </c:pt>
                <c:pt idx="25">
                  <c:v>1222.7439458660056</c:v>
                </c:pt>
                <c:pt idx="26">
                  <c:v>1219.5744614541961</c:v>
                </c:pt>
                <c:pt idx="27">
                  <c:v>1216.3926952902909</c:v>
                </c:pt>
                <c:pt idx="28">
                  <c:v>1213.1985997825004</c:v>
                </c:pt>
                <c:pt idx="29">
                  <c:v>1209.9921271546173</c:v>
                </c:pt>
                <c:pt idx="30">
                  <c:v>1206.7732294453012</c:v>
                </c:pt>
                <c:pt idx="31">
                  <c:v>1203.5418585073614</c:v>
                </c:pt>
                <c:pt idx="32">
                  <c:v>1200.2979660070373</c:v>
                </c:pt>
                <c:pt idx="33">
                  <c:v>1197.0415034232744</c:v>
                </c:pt>
                <c:pt idx="34">
                  <c:v>1193.7724220469993</c:v>
                </c:pt>
                <c:pt idx="35">
                  <c:v>1190.4906729803911</c:v>
                </c:pt>
                <c:pt idx="36">
                  <c:v>1187.19620713615</c:v>
                </c:pt>
                <c:pt idx="37">
                  <c:v>1183.8889752367622</c:v>
                </c:pt>
                <c:pt idx="38">
                  <c:v>1180.5689278137645</c:v>
                </c:pt>
                <c:pt idx="39">
                  <c:v>1177.2360152070023</c:v>
                </c:pt>
                <c:pt idx="40">
                  <c:v>1173.8901875638894</c:v>
                </c:pt>
                <c:pt idx="41">
                  <c:v>1170.5313948386593</c:v>
                </c:pt>
                <c:pt idx="42">
                  <c:v>1167.1595867916189</c:v>
                </c:pt>
                <c:pt idx="43">
                  <c:v>1163.774712988396</c:v>
                </c:pt>
                <c:pt idx="44">
                  <c:v>1160.3767227991859</c:v>
                </c:pt>
                <c:pt idx="45">
                  <c:v>1156.9655653979923</c:v>
                </c:pt>
                <c:pt idx="46">
                  <c:v>1153.5411897618694</c:v>
                </c:pt>
                <c:pt idx="47">
                  <c:v>1150.1035446701562</c:v>
                </c:pt>
                <c:pt idx="48">
                  <c:v>1146.6525787037131</c:v>
                </c:pt>
                <c:pt idx="49">
                  <c:v>1143.1882402441497</c:v>
                </c:pt>
                <c:pt idx="50">
                  <c:v>1139.7104774730553</c:v>
                </c:pt>
                <c:pt idx="51">
                  <c:v>1136.2192383712231</c:v>
                </c:pt>
                <c:pt idx="52">
                  <c:v>1132.7144707178716</c:v>
                </c:pt>
                <c:pt idx="53">
                  <c:v>1129.1961220898631</c:v>
                </c:pt>
                <c:pt idx="54">
                  <c:v>1125.6641398609213</c:v>
                </c:pt>
                <c:pt idx="55">
                  <c:v>1122.1184712008419</c:v>
                </c:pt>
                <c:pt idx="56">
                  <c:v>1118.5590630747049</c:v>
                </c:pt>
                <c:pt idx="57">
                  <c:v>1114.9858622420791</c:v>
                </c:pt>
                <c:pt idx="58">
                  <c:v>1111.398815256227</c:v>
                </c:pt>
                <c:pt idx="59">
                  <c:v>1107.7978684633044</c:v>
                </c:pt>
                <c:pt idx="60">
                  <c:v>1104.1829680015594</c:v>
                </c:pt>
                <c:pt idx="61">
                  <c:v>1100.5540598005252</c:v>
                </c:pt>
                <c:pt idx="62">
                  <c:v>1096.9110895802119</c:v>
                </c:pt>
                <c:pt idx="63">
                  <c:v>1093.2540028502951</c:v>
                </c:pt>
                <c:pt idx="64">
                  <c:v>1089.5827449092997</c:v>
                </c:pt>
                <c:pt idx="65">
                  <c:v>1085.897260843783</c:v>
                </c:pt>
                <c:pt idx="66">
                  <c:v>1082.1974955275123</c:v>
                </c:pt>
                <c:pt idx="67">
                  <c:v>1078.4833936206412</c:v>
                </c:pt>
                <c:pt idx="68">
                  <c:v>1074.754899568881</c:v>
                </c:pt>
                <c:pt idx="69">
                  <c:v>1071.0119576026702</c:v>
                </c:pt>
                <c:pt idx="70">
                  <c:v>1067.2545117363402</c:v>
                </c:pt>
                <c:pt idx="71">
                  <c:v>1063.4825057672783</c:v>
                </c:pt>
                <c:pt idx="72">
                  <c:v>1059.6958832750861</c:v>
                </c:pt>
                <c:pt idx="73">
                  <c:v>1055.8945876207367</c:v>
                </c:pt>
                <c:pt idx="74">
                  <c:v>1052.078561945727</c:v>
                </c:pt>
                <c:pt idx="75">
                  <c:v>1048.2477491712264</c:v>
                </c:pt>
                <c:pt idx="76">
                  <c:v>1044.4020919972247</c:v>
                </c:pt>
                <c:pt idx="77">
                  <c:v>1040.5415329016737</c:v>
                </c:pt>
                <c:pt idx="78">
                  <c:v>1036.6660141396274</c:v>
                </c:pt>
                <c:pt idx="79">
                  <c:v>1032.7754777423781</c:v>
                </c:pt>
                <c:pt idx="80">
                  <c:v>1028.8698655165895</c:v>
                </c:pt>
                <c:pt idx="81">
                  <c:v>1024.949119043426</c:v>
                </c:pt>
                <c:pt idx="82">
                  <c:v>1021.0131796776791</c:v>
                </c:pt>
                <c:pt idx="83">
                  <c:v>1017.0619885468898</c:v>
                </c:pt>
                <c:pt idx="84">
                  <c:v>1013.0954865504688</c:v>
                </c:pt>
                <c:pt idx="85">
                  <c:v>1009.1136143588116</c:v>
                </c:pt>
                <c:pt idx="86">
                  <c:v>1005.1163124124116</c:v>
                </c:pt>
                <c:pt idx="87">
                  <c:v>1001.1035209209695</c:v>
                </c:pt>
                <c:pt idx="88">
                  <c:v>997.07517986249809</c:v>
                </c:pt>
                <c:pt idx="89">
                  <c:v>993.03122898242498</c:v>
                </c:pt>
                <c:pt idx="90">
                  <c:v>988.97160779269166</c:v>
                </c:pt>
                <c:pt idx="91">
                  <c:v>984.8962555708481</c:v>
                </c:pt>
                <c:pt idx="92">
                  <c:v>980.80511135914492</c:v>
                </c:pt>
                <c:pt idx="93">
                  <c:v>976.69811396362138</c:v>
                </c:pt>
                <c:pt idx="94">
                  <c:v>972.57520195319023</c:v>
                </c:pt>
                <c:pt idx="95">
                  <c:v>968.43631365871852</c:v>
                </c:pt>
                <c:pt idx="96">
                  <c:v>964.28138717210595</c:v>
                </c:pt>
                <c:pt idx="97">
                  <c:v>960.11036034535755</c:v>
                </c:pt>
                <c:pt idx="98">
                  <c:v>955.9231707896555</c:v>
                </c:pt>
                <c:pt idx="99">
                  <c:v>951.71975587442512</c:v>
                </c:pt>
                <c:pt idx="100">
                  <c:v>947.50005272639839</c:v>
                </c:pt>
                <c:pt idx="101">
                  <c:v>943.2639982286729</c:v>
                </c:pt>
                <c:pt idx="102">
                  <c:v>939.01152901976877</c:v>
                </c:pt>
                <c:pt idx="103">
                  <c:v>934.74258149268007</c:v>
                </c:pt>
                <c:pt idx="104">
                  <c:v>930.45709179392395</c:v>
                </c:pt>
                <c:pt idx="105">
                  <c:v>926.15499582258519</c:v>
                </c:pt>
                <c:pt idx="106">
                  <c:v>921.8362292293574</c:v>
                </c:pt>
                <c:pt idx="107">
                  <c:v>917.50072741558097</c:v>
                </c:pt>
                <c:pt idx="108">
                  <c:v>913.14842553227606</c:v>
                </c:pt>
                <c:pt idx="109">
                  <c:v>908.77925847917345</c:v>
                </c:pt>
                <c:pt idx="110">
                  <c:v>904.39316090374007</c:v>
                </c:pt>
                <c:pt idx="111">
                  <c:v>899.99006720020179</c:v>
                </c:pt>
                <c:pt idx="112">
                  <c:v>895.56991150856231</c:v>
                </c:pt>
                <c:pt idx="113">
                  <c:v>891.13262771361781</c:v>
                </c:pt>
                <c:pt idx="114">
                  <c:v>886.67814944396787</c:v>
                </c:pt>
                <c:pt idx="115">
                  <c:v>882.20641007102302</c:v>
                </c:pt>
                <c:pt idx="116">
                  <c:v>877.71734270800789</c:v>
                </c:pt>
                <c:pt idx="117">
                  <c:v>873.21088020896116</c:v>
                </c:pt>
                <c:pt idx="118">
                  <c:v>868.68695516773073</c:v>
                </c:pt>
                <c:pt idx="119">
                  <c:v>864.14549991696538</c:v>
                </c:pt>
                <c:pt idx="120">
                  <c:v>859.58644652710336</c:v>
                </c:pt>
                <c:pt idx="121">
                  <c:v>855.00972680535574</c:v>
                </c:pt>
                <c:pt idx="122">
                  <c:v>850.41527229468625</c:v>
                </c:pt>
                <c:pt idx="123">
                  <c:v>845.80301427278789</c:v>
                </c:pt>
                <c:pt idx="124">
                  <c:v>841.17288375105466</c:v>
                </c:pt>
                <c:pt idx="125">
                  <c:v>836.52481147354979</c:v>
                </c:pt>
                <c:pt idx="126">
                  <c:v>831.85872791596955</c:v>
                </c:pt>
                <c:pt idx="127">
                  <c:v>827.17456328460366</c:v>
                </c:pt>
                <c:pt idx="128">
                  <c:v>822.47224751529131</c:v>
                </c:pt>
                <c:pt idx="129">
                  <c:v>817.75171027237275</c:v>
                </c:pt>
                <c:pt idx="130">
                  <c:v>813.012880947638</c:v>
                </c:pt>
                <c:pt idx="131">
                  <c:v>808.25568865926982</c:v>
                </c:pt>
                <c:pt idx="132">
                  <c:v>803.48006225078427</c:v>
                </c:pt>
                <c:pt idx="133">
                  <c:v>798.68593028996577</c:v>
                </c:pt>
                <c:pt idx="134">
                  <c:v>793.87322106779925</c:v>
                </c:pt>
                <c:pt idx="135">
                  <c:v>789.04186259739674</c:v>
                </c:pt>
                <c:pt idx="136">
                  <c:v>784.19178261292143</c:v>
                </c:pt>
                <c:pt idx="137">
                  <c:v>779.32290856850625</c:v>
                </c:pt>
                <c:pt idx="138">
                  <c:v>774.435167637169</c:v>
                </c:pt>
                <c:pt idx="139">
                  <c:v>769.52848670972276</c:v>
                </c:pt>
                <c:pt idx="140">
                  <c:v>764.60279239368276</c:v>
                </c:pt>
                <c:pt idx="141">
                  <c:v>759.658011012168</c:v>
                </c:pt>
                <c:pt idx="142">
                  <c:v>754.69406860279992</c:v>
                </c:pt>
                <c:pt idx="143">
                  <c:v>749.71089091659553</c:v>
                </c:pt>
                <c:pt idx="144">
                  <c:v>744.7084034168571</c:v>
                </c:pt>
                <c:pt idx="145">
                  <c:v>739.68653127805715</c:v>
                </c:pt>
                <c:pt idx="146">
                  <c:v>734.64519938471938</c:v>
                </c:pt>
                <c:pt idx="147">
                  <c:v>729.58433233029496</c:v>
                </c:pt>
                <c:pt idx="148">
                  <c:v>724.50385441603464</c:v>
                </c:pt>
                <c:pt idx="149">
                  <c:v>719.40368964985657</c:v>
                </c:pt>
                <c:pt idx="150">
                  <c:v>714.28376174520952</c:v>
                </c:pt>
                <c:pt idx="151">
                  <c:v>709.14399411993202</c:v>
                </c:pt>
                <c:pt idx="152">
                  <c:v>703.98430989510655</c:v>
                </c:pt>
                <c:pt idx="153">
                  <c:v>698.8046318939098</c:v>
                </c:pt>
                <c:pt idx="154">
                  <c:v>693.60488264045853</c:v>
                </c:pt>
                <c:pt idx="155">
                  <c:v>688.38498435865006</c:v>
                </c:pt>
                <c:pt idx="156">
                  <c:v>683.14485897099962</c:v>
                </c:pt>
                <c:pt idx="157">
                  <c:v>677.88442809747198</c:v>
                </c:pt>
                <c:pt idx="158">
                  <c:v>672.60361305430933</c:v>
                </c:pt>
                <c:pt idx="159">
                  <c:v>667.30233485285453</c:v>
                </c:pt>
                <c:pt idx="160">
                  <c:v>661.98051419836906</c:v>
                </c:pt>
                <c:pt idx="161">
                  <c:v>656.63807148884757</c:v>
                </c:pt>
                <c:pt idx="162">
                  <c:v>651.2749268138266</c:v>
                </c:pt>
                <c:pt idx="163">
                  <c:v>645.89099995318986</c:v>
                </c:pt>
                <c:pt idx="164">
                  <c:v>640.4862103759682</c:v>
                </c:pt>
                <c:pt idx="165">
                  <c:v>635.06047723913491</c:v>
                </c:pt>
                <c:pt idx="166">
                  <c:v>629.61371938639638</c:v>
                </c:pt>
                <c:pt idx="167">
                  <c:v>624.14585534697846</c:v>
                </c:pt>
                <c:pt idx="168">
                  <c:v>618.65680333440775</c:v>
                </c:pt>
                <c:pt idx="169">
                  <c:v>613.14648124528833</c:v>
                </c:pt>
                <c:pt idx="170">
                  <c:v>607.61480665807358</c:v>
                </c:pt>
                <c:pt idx="171">
                  <c:v>602.06169683183339</c:v>
                </c:pt>
                <c:pt idx="172">
                  <c:v>596.48706870501655</c:v>
                </c:pt>
                <c:pt idx="173">
                  <c:v>590.89083889420817</c:v>
                </c:pt>
                <c:pt idx="174">
                  <c:v>585.27292369288307</c:v>
                </c:pt>
                <c:pt idx="175">
                  <c:v>579.63323907015285</c:v>
                </c:pt>
                <c:pt idx="176">
                  <c:v>573.97170066950935</c:v>
                </c:pt>
                <c:pt idx="177">
                  <c:v>568.28822380756344</c:v>
                </c:pt>
                <c:pt idx="178">
                  <c:v>562.5827234727775</c:v>
                </c:pt>
                <c:pt idx="179">
                  <c:v>556.85511432419423</c:v>
                </c:pt>
                <c:pt idx="180">
                  <c:v>551.10531069016031</c:v>
                </c:pt>
                <c:pt idx="181">
                  <c:v>545.33322656704445</c:v>
                </c:pt>
                <c:pt idx="182">
                  <c:v>539.53877561795161</c:v>
                </c:pt>
                <c:pt idx="183">
                  <c:v>533.72187117143085</c:v>
                </c:pt>
                <c:pt idx="184">
                  <c:v>527.88242622017981</c:v>
                </c:pt>
                <c:pt idx="185">
                  <c:v>522.02035341974283</c:v>
                </c:pt>
                <c:pt idx="186">
                  <c:v>516.1355650872041</c:v>
                </c:pt>
                <c:pt idx="187">
                  <c:v>510.22797319987677</c:v>
                </c:pt>
                <c:pt idx="188">
                  <c:v>504.29748939398604</c:v>
                </c:pt>
                <c:pt idx="189">
                  <c:v>498.34402496334752</c:v>
                </c:pt>
                <c:pt idx="190">
                  <c:v>492.36749085804024</c:v>
                </c:pt>
                <c:pt idx="191">
                  <c:v>486.36779768307491</c:v>
                </c:pt>
                <c:pt idx="192">
                  <c:v>480.34485569705657</c:v>
                </c:pt>
                <c:pt idx="193">
                  <c:v>474.29857481084241</c:v>
                </c:pt>
                <c:pt idx="194">
                  <c:v>468.22886458619416</c:v>
                </c:pt>
                <c:pt idx="195">
                  <c:v>462.13563423442548</c:v>
                </c:pt>
                <c:pt idx="196">
                  <c:v>456.01879261504359</c:v>
                </c:pt>
                <c:pt idx="197">
                  <c:v>449.87824823438666</c:v>
                </c:pt>
                <c:pt idx="198">
                  <c:v>443.71390924425469</c:v>
                </c:pt>
                <c:pt idx="199">
                  <c:v>437.52568344053589</c:v>
                </c:pt>
                <c:pt idx="200">
                  <c:v>431.31347826182775</c:v>
                </c:pt>
                <c:pt idx="201">
                  <c:v>425.0772007880521</c:v>
                </c:pt>
                <c:pt idx="202">
                  <c:v>418.81675773906557</c:v>
                </c:pt>
                <c:pt idx="203">
                  <c:v>412.53205547326422</c:v>
                </c:pt>
                <c:pt idx="204">
                  <c:v>406.22299998618286</c:v>
                </c:pt>
                <c:pt idx="205">
                  <c:v>399.88949690908908</c:v>
                </c:pt>
                <c:pt idx="206">
                  <c:v>393.53145150757155</c:v>
                </c:pt>
                <c:pt idx="207">
                  <c:v>387.14876868012311</c:v>
                </c:pt>
                <c:pt idx="208">
                  <c:v>380.74135295671834</c:v>
                </c:pt>
                <c:pt idx="209">
                  <c:v>374.30910849738541</c:v>
                </c:pt>
                <c:pt idx="210">
                  <c:v>367.85193909077253</c:v>
                </c:pt>
                <c:pt idx="211">
                  <c:v>361.36974815270901</c:v>
                </c:pt>
                <c:pt idx="212">
                  <c:v>354.86243872476047</c:v>
                </c:pt>
                <c:pt idx="213">
                  <c:v>348.32991347277868</c:v>
                </c:pt>
                <c:pt idx="214">
                  <c:v>341.77207468544549</c:v>
                </c:pt>
                <c:pt idx="215">
                  <c:v>335.18882427281136</c:v>
                </c:pt>
                <c:pt idx="216">
                  <c:v>328.58006376482825</c:v>
                </c:pt>
                <c:pt idx="217">
                  <c:v>321.94569430987673</c:v>
                </c:pt>
                <c:pt idx="218">
                  <c:v>315.28561667328728</c:v>
                </c:pt>
                <c:pt idx="219">
                  <c:v>308.59973123585604</c:v>
                </c:pt>
                <c:pt idx="220">
                  <c:v>301.88793799235469</c:v>
                </c:pt>
                <c:pt idx="221">
                  <c:v>295.1501365500348</c:v>
                </c:pt>
                <c:pt idx="222">
                  <c:v>288.38622612712601</c:v>
                </c:pt>
                <c:pt idx="223">
                  <c:v>281.59610555132838</c:v>
                </c:pt>
                <c:pt idx="224">
                  <c:v>274.77967325829951</c:v>
                </c:pt>
                <c:pt idx="225">
                  <c:v>267.93682729013517</c:v>
                </c:pt>
                <c:pt idx="226">
                  <c:v>261.06746529384424</c:v>
                </c:pt>
                <c:pt idx="227">
                  <c:v>254.1714845198176</c:v>
                </c:pt>
                <c:pt idx="228">
                  <c:v>247.24878182029167</c:v>
                </c:pt>
                <c:pt idx="229">
                  <c:v>240.29925364780505</c:v>
                </c:pt>
                <c:pt idx="230">
                  <c:v>233.32279605365002</c:v>
                </c:pt>
                <c:pt idx="231">
                  <c:v>226.31930468631768</c:v>
                </c:pt>
                <c:pt idx="232">
                  <c:v>219.28867478993692</c:v>
                </c:pt>
                <c:pt idx="233">
                  <c:v>212.23080120270768</c:v>
                </c:pt>
                <c:pt idx="234">
                  <c:v>205.14557835532793</c:v>
                </c:pt>
                <c:pt idx="235">
                  <c:v>198.0329002694146</c:v>
                </c:pt>
                <c:pt idx="236">
                  <c:v>190.89266055591833</c:v>
                </c:pt>
                <c:pt idx="237">
                  <c:v>183.72475241353229</c:v>
                </c:pt>
                <c:pt idx="238">
                  <c:v>176.52906862709449</c:v>
                </c:pt>
                <c:pt idx="239">
                  <c:v>169.30550156598423</c:v>
                </c:pt>
                <c:pt idx="240">
                  <c:v>162.05394318251217</c:v>
                </c:pt>
                <c:pt idx="241">
                  <c:v>154.77428501030417</c:v>
                </c:pt>
                <c:pt idx="242">
                  <c:v>147.46641816267885</c:v>
                </c:pt>
                <c:pt idx="243">
                  <c:v>140.13023333101899</c:v>
                </c:pt>
                <c:pt idx="244">
                  <c:v>132.76562078313643</c:v>
                </c:pt>
                <c:pt idx="245">
                  <c:v>125.37247036163085</c:v>
                </c:pt>
                <c:pt idx="246">
                  <c:v>117.95067148224192</c:v>
                </c:pt>
                <c:pt idx="247">
                  <c:v>110.50011313219537</c:v>
                </c:pt>
                <c:pt idx="248">
                  <c:v>103.02068386854238</c:v>
                </c:pt>
                <c:pt idx="249">
                  <c:v>95.512271816492728</c:v>
                </c:pt>
                <c:pt idx="250">
                  <c:v>87.974764667741397</c:v>
                </c:pt>
                <c:pt idx="251">
                  <c:v>80.408049678788657</c:v>
                </c:pt>
                <c:pt idx="252">
                  <c:v>72.812013669253716</c:v>
                </c:pt>
                <c:pt idx="253">
                  <c:v>65.186543020181816</c:v>
                </c:pt>
                <c:pt idx="254">
                  <c:v>57.531523672344782</c:v>
                </c:pt>
                <c:pt idx="255">
                  <c:v>49.846841124534869</c:v>
                </c:pt>
                <c:pt idx="256">
                  <c:v>42.132380431852191</c:v>
                </c:pt>
                <c:pt idx="257">
                  <c:v>34.388026203985369</c:v>
                </c:pt>
                <c:pt idx="258">
                  <c:v>26.613662603485569</c:v>
                </c:pt>
                <c:pt idx="259">
                  <c:v>18.80917334403383</c:v>
                </c:pt>
                <c:pt idx="260">
                  <c:v>10.974441688701717</c:v>
                </c:pt>
                <c:pt idx="261">
                  <c:v>3.1093504482051912</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1"/>
          <c:extLst>
            <c:ext xmlns:c16="http://schemas.microsoft.com/office/drawing/2014/chart" uri="{C3380CC4-5D6E-409C-BE32-E72D297353CC}">
              <c16:uniqueId val="{00000000-FB6D-46BA-8360-7D646DFE7DBF}"/>
            </c:ext>
          </c:extLst>
        </c:ser>
        <c:ser>
          <c:idx val="1"/>
          <c:order val="1"/>
          <c:tx>
            <c:strRef>
              <c:f>Q5_iv_Mortgage!$G$16</c:f>
              <c:strCache>
                <c:ptCount val="1"/>
                <c:pt idx="0">
                  <c:v>Total principal</c:v>
                </c:pt>
              </c:strCache>
            </c:strRef>
          </c:tx>
          <c:spPr>
            <a:ln w="47520">
              <a:solidFill>
                <a:srgbClr val="BE4B48"/>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Q5_iv_Mortgage!$A$17:$A$316</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cat>
          <c:val>
            <c:numRef>
              <c:f>Q5_iv_Mortgage!$G$17:$G$316</c:f>
              <c:numCache>
                <c:formatCode>\€#\ ##0.00;[Red]"(€"#\ ##0.00\);\-</c:formatCode>
                <c:ptCount val="300"/>
                <c:pt idx="0">
                  <c:v>742.55040697812774</c:v>
                </c:pt>
                <c:pt idx="1">
                  <c:v>745.427789805168</c:v>
                </c:pt>
                <c:pt idx="2">
                  <c:v>748.31632249066297</c:v>
                </c:pt>
                <c:pt idx="3">
                  <c:v>751.21604824031442</c:v>
                </c:pt>
                <c:pt idx="4">
                  <c:v>754.12701042724552</c:v>
                </c:pt>
                <c:pt idx="5">
                  <c:v>757.0492525926511</c:v>
                </c:pt>
                <c:pt idx="6">
                  <c:v>759.98281844644771</c:v>
                </c:pt>
                <c:pt idx="7">
                  <c:v>762.92775186792778</c:v>
                </c:pt>
                <c:pt idx="8">
                  <c:v>765.88409690641606</c:v>
                </c:pt>
                <c:pt idx="9">
                  <c:v>768.8518977819283</c:v>
                </c:pt>
                <c:pt idx="10">
                  <c:v>771.83119888583337</c:v>
                </c:pt>
                <c:pt idx="11">
                  <c:v>774.82204478151607</c:v>
                </c:pt>
                <c:pt idx="12">
                  <c:v>777.82448020504444</c:v>
                </c:pt>
                <c:pt idx="13">
                  <c:v>780.83855006583894</c:v>
                </c:pt>
                <c:pt idx="14">
                  <c:v>783.86429944734391</c:v>
                </c:pt>
                <c:pt idx="15">
                  <c:v>786.90177360770235</c:v>
                </c:pt>
                <c:pt idx="16">
                  <c:v>789.9510179804322</c:v>
                </c:pt>
                <c:pt idx="17">
                  <c:v>793.01207817510635</c:v>
                </c:pt>
                <c:pt idx="18">
                  <c:v>796.08499997803483</c:v>
                </c:pt>
                <c:pt idx="19">
                  <c:v>799.16982935294959</c:v>
                </c:pt>
                <c:pt idx="20">
                  <c:v>802.26661244169213</c:v>
                </c:pt>
                <c:pt idx="21">
                  <c:v>805.37539556490378</c:v>
                </c:pt>
                <c:pt idx="22">
                  <c:v>808.49622522271761</c:v>
                </c:pt>
                <c:pt idx="23">
                  <c:v>811.62914809545578</c:v>
                </c:pt>
                <c:pt idx="24">
                  <c:v>814.77421104432551</c:v>
                </c:pt>
                <c:pt idx="25">
                  <c:v>817.93146111212218</c:v>
                </c:pt>
                <c:pt idx="26">
                  <c:v>821.10094552393161</c:v>
                </c:pt>
                <c:pt idx="27">
                  <c:v>824.28271168783681</c:v>
                </c:pt>
                <c:pt idx="28">
                  <c:v>827.47680719562732</c:v>
                </c:pt>
                <c:pt idx="29">
                  <c:v>830.68327982351047</c:v>
                </c:pt>
                <c:pt idx="30">
                  <c:v>833.9021775328265</c:v>
                </c:pt>
                <c:pt idx="31">
                  <c:v>837.1335484707663</c:v>
                </c:pt>
                <c:pt idx="32">
                  <c:v>840.37744097109044</c:v>
                </c:pt>
                <c:pt idx="33">
                  <c:v>843.6339035548533</c:v>
                </c:pt>
                <c:pt idx="34">
                  <c:v>846.90298493112846</c:v>
                </c:pt>
                <c:pt idx="35">
                  <c:v>850.18473399773666</c:v>
                </c:pt>
                <c:pt idx="36">
                  <c:v>853.47919984197779</c:v>
                </c:pt>
                <c:pt idx="37">
                  <c:v>856.7864317413655</c:v>
                </c:pt>
                <c:pt idx="38">
                  <c:v>860.10647916436324</c:v>
                </c:pt>
                <c:pt idx="39">
                  <c:v>863.43939177112543</c:v>
                </c:pt>
                <c:pt idx="40">
                  <c:v>866.78521941423833</c:v>
                </c:pt>
                <c:pt idx="41">
                  <c:v>870.14401213946849</c:v>
                </c:pt>
                <c:pt idx="42">
                  <c:v>873.51582018650879</c:v>
                </c:pt>
                <c:pt idx="43">
                  <c:v>876.90069398973174</c:v>
                </c:pt>
                <c:pt idx="44">
                  <c:v>880.29868417894181</c:v>
                </c:pt>
                <c:pt idx="45">
                  <c:v>883.70984158013539</c:v>
                </c:pt>
                <c:pt idx="46">
                  <c:v>887.13421721625832</c:v>
                </c:pt>
                <c:pt idx="47">
                  <c:v>890.57186230797151</c:v>
                </c:pt>
                <c:pt idx="48">
                  <c:v>894.02282827441468</c:v>
                </c:pt>
                <c:pt idx="49">
                  <c:v>897.48716673397803</c:v>
                </c:pt>
                <c:pt idx="50">
                  <c:v>900.9649295050724</c:v>
                </c:pt>
                <c:pt idx="51">
                  <c:v>904.45616860690461</c:v>
                </c:pt>
                <c:pt idx="52">
                  <c:v>907.96093626025618</c:v>
                </c:pt>
                <c:pt idx="53">
                  <c:v>911.4792848882646</c:v>
                </c:pt>
                <c:pt idx="54">
                  <c:v>915.01126711720644</c:v>
                </c:pt>
                <c:pt idx="55">
                  <c:v>918.55693577728584</c:v>
                </c:pt>
                <c:pt idx="56">
                  <c:v>922.11634390342283</c:v>
                </c:pt>
                <c:pt idx="57">
                  <c:v>925.68954473604867</c:v>
                </c:pt>
                <c:pt idx="58">
                  <c:v>929.27659172190079</c:v>
                </c:pt>
                <c:pt idx="59">
                  <c:v>932.8775385148233</c:v>
                </c:pt>
                <c:pt idx="60">
                  <c:v>936.49243897656834</c:v>
                </c:pt>
                <c:pt idx="61">
                  <c:v>940.1213471776025</c:v>
                </c:pt>
                <c:pt idx="62">
                  <c:v>943.76431739791587</c:v>
                </c:pt>
                <c:pt idx="63">
                  <c:v>947.4214041278326</c:v>
                </c:pt>
                <c:pt idx="64">
                  <c:v>951.09266206882808</c:v>
                </c:pt>
                <c:pt idx="65">
                  <c:v>954.77814613434475</c:v>
                </c:pt>
                <c:pt idx="66">
                  <c:v>958.47791145061547</c:v>
                </c:pt>
                <c:pt idx="67">
                  <c:v>962.19201335748653</c:v>
                </c:pt>
                <c:pt idx="68">
                  <c:v>965.92050740924674</c:v>
                </c:pt>
                <c:pt idx="69">
                  <c:v>969.6634493754575</c:v>
                </c:pt>
                <c:pt idx="70">
                  <c:v>973.42089524178755</c:v>
                </c:pt>
                <c:pt idx="71">
                  <c:v>977.19290121084941</c:v>
                </c:pt>
                <c:pt idx="72">
                  <c:v>980.97952370304165</c:v>
                </c:pt>
                <c:pt idx="73">
                  <c:v>984.78081935739101</c:v>
                </c:pt>
                <c:pt idx="74">
                  <c:v>988.59684503240078</c:v>
                </c:pt>
                <c:pt idx="75">
                  <c:v>992.42765780690138</c:v>
                </c:pt>
                <c:pt idx="76">
                  <c:v>996.27331498090302</c:v>
                </c:pt>
                <c:pt idx="77">
                  <c:v>1000.133874076454</c:v>
                </c:pt>
                <c:pt idx="78">
                  <c:v>1004.0093928385004</c:v>
                </c:pt>
                <c:pt idx="79">
                  <c:v>1007.8999292357496</c:v>
                </c:pt>
                <c:pt idx="80">
                  <c:v>1011.8055414615383</c:v>
                </c:pt>
                <c:pt idx="81">
                  <c:v>1015.7262879347018</c:v>
                </c:pt>
                <c:pt idx="82">
                  <c:v>1019.6622273004486</c:v>
                </c:pt>
                <c:pt idx="83">
                  <c:v>1023.613418431238</c:v>
                </c:pt>
                <c:pt idx="84">
                  <c:v>1027.5799204276591</c:v>
                </c:pt>
                <c:pt idx="85">
                  <c:v>1031.5617926193163</c:v>
                </c:pt>
                <c:pt idx="86">
                  <c:v>1035.5590945657161</c:v>
                </c:pt>
                <c:pt idx="87">
                  <c:v>1039.5718860571583</c:v>
                </c:pt>
                <c:pt idx="88">
                  <c:v>1043.6002271156297</c:v>
                </c:pt>
                <c:pt idx="89">
                  <c:v>1047.6441779957026</c:v>
                </c:pt>
                <c:pt idx="90">
                  <c:v>1051.7037991854361</c:v>
                </c:pt>
                <c:pt idx="91">
                  <c:v>1055.7791514072796</c:v>
                </c:pt>
                <c:pt idx="92">
                  <c:v>1059.8702956189827</c:v>
                </c:pt>
                <c:pt idx="93">
                  <c:v>1063.9772930145064</c:v>
                </c:pt>
                <c:pt idx="94">
                  <c:v>1068.1002050249376</c:v>
                </c:pt>
                <c:pt idx="95">
                  <c:v>1072.2390933194092</c:v>
                </c:pt>
                <c:pt idx="96">
                  <c:v>1076.3940198060218</c:v>
                </c:pt>
                <c:pt idx="97">
                  <c:v>1080.5650466327702</c:v>
                </c:pt>
                <c:pt idx="98">
                  <c:v>1084.7522361884721</c:v>
                </c:pt>
                <c:pt idx="99">
                  <c:v>1088.9556511037026</c:v>
                </c:pt>
                <c:pt idx="100">
                  <c:v>1093.1753542517295</c:v>
                </c:pt>
                <c:pt idx="101">
                  <c:v>1097.4114087494549</c:v>
                </c:pt>
                <c:pt idx="102">
                  <c:v>1101.6638779583591</c:v>
                </c:pt>
                <c:pt idx="103">
                  <c:v>1105.9328254854477</c:v>
                </c:pt>
                <c:pt idx="104">
                  <c:v>1110.2183151842037</c:v>
                </c:pt>
                <c:pt idx="105">
                  <c:v>1114.5204111555427</c:v>
                </c:pt>
                <c:pt idx="106">
                  <c:v>1118.8391777487705</c:v>
                </c:pt>
                <c:pt idx="107">
                  <c:v>1123.1746795625468</c:v>
                </c:pt>
                <c:pt idx="108">
                  <c:v>1127.5269814458516</c:v>
                </c:pt>
                <c:pt idx="109">
                  <c:v>1131.8961484989543</c:v>
                </c:pt>
                <c:pt idx="110">
                  <c:v>1136.2822460743878</c:v>
                </c:pt>
                <c:pt idx="111">
                  <c:v>1140.6853397779259</c:v>
                </c:pt>
                <c:pt idx="112">
                  <c:v>1145.1054954695655</c:v>
                </c:pt>
                <c:pt idx="113">
                  <c:v>1149.54277926451</c:v>
                </c:pt>
                <c:pt idx="114">
                  <c:v>1153.9972575341599</c:v>
                </c:pt>
                <c:pt idx="115">
                  <c:v>1158.4689969071046</c:v>
                </c:pt>
                <c:pt idx="116">
                  <c:v>1162.9580642701198</c:v>
                </c:pt>
                <c:pt idx="117">
                  <c:v>1167.4645267691667</c:v>
                </c:pt>
                <c:pt idx="118">
                  <c:v>1171.988451810397</c:v>
                </c:pt>
                <c:pt idx="119">
                  <c:v>1176.5299070611622</c:v>
                </c:pt>
                <c:pt idx="120">
                  <c:v>1181.0889604510244</c:v>
                </c:pt>
                <c:pt idx="121">
                  <c:v>1185.665680172772</c:v>
                </c:pt>
                <c:pt idx="122">
                  <c:v>1190.2601346834415</c:v>
                </c:pt>
                <c:pt idx="123">
                  <c:v>1194.8723927053397</c:v>
                </c:pt>
                <c:pt idx="124">
                  <c:v>1199.5025232270732</c:v>
                </c:pt>
                <c:pt idx="125">
                  <c:v>1204.150595504578</c:v>
                </c:pt>
                <c:pt idx="126">
                  <c:v>1208.8166790621581</c:v>
                </c:pt>
                <c:pt idx="127">
                  <c:v>1213.5008436935241</c:v>
                </c:pt>
                <c:pt idx="128">
                  <c:v>1218.2031594628365</c:v>
                </c:pt>
                <c:pt idx="129">
                  <c:v>1222.923696705755</c:v>
                </c:pt>
                <c:pt idx="130">
                  <c:v>1227.6625260304897</c:v>
                </c:pt>
                <c:pt idx="131">
                  <c:v>1232.419718318858</c:v>
                </c:pt>
                <c:pt idx="132">
                  <c:v>1237.1953447273436</c:v>
                </c:pt>
                <c:pt idx="133">
                  <c:v>1241.9894766881621</c:v>
                </c:pt>
                <c:pt idx="134">
                  <c:v>1246.8021859103285</c:v>
                </c:pt>
                <c:pt idx="135">
                  <c:v>1251.6335443807311</c:v>
                </c:pt>
                <c:pt idx="136">
                  <c:v>1256.4836243652062</c:v>
                </c:pt>
                <c:pt idx="137">
                  <c:v>1261.3524984096216</c:v>
                </c:pt>
                <c:pt idx="138">
                  <c:v>1266.2402393409589</c:v>
                </c:pt>
                <c:pt idx="139">
                  <c:v>1271.146920268405</c:v>
                </c:pt>
                <c:pt idx="140">
                  <c:v>1276.0726145844451</c:v>
                </c:pt>
                <c:pt idx="141">
                  <c:v>1281.0173959659596</c:v>
                </c:pt>
                <c:pt idx="142">
                  <c:v>1285.9813383753278</c:v>
                </c:pt>
                <c:pt idx="143">
                  <c:v>1290.9645160615323</c:v>
                </c:pt>
                <c:pt idx="144">
                  <c:v>1295.9670035612708</c:v>
                </c:pt>
                <c:pt idx="145">
                  <c:v>1300.9888757000706</c:v>
                </c:pt>
                <c:pt idx="146">
                  <c:v>1306.0302075934082</c:v>
                </c:pt>
                <c:pt idx="147">
                  <c:v>1311.0910746478328</c:v>
                </c:pt>
                <c:pt idx="148">
                  <c:v>1316.171552562093</c:v>
                </c:pt>
                <c:pt idx="149">
                  <c:v>1321.2717173282713</c:v>
                </c:pt>
                <c:pt idx="150">
                  <c:v>1326.3916452329181</c:v>
                </c:pt>
                <c:pt idx="151">
                  <c:v>1331.5314128581958</c:v>
                </c:pt>
                <c:pt idx="152">
                  <c:v>1336.6910970830213</c:v>
                </c:pt>
                <c:pt idx="153">
                  <c:v>1341.8707750842179</c:v>
                </c:pt>
                <c:pt idx="154">
                  <c:v>1347.0705243376692</c:v>
                </c:pt>
                <c:pt idx="155">
                  <c:v>1352.2904226194778</c:v>
                </c:pt>
                <c:pt idx="156">
                  <c:v>1357.5305480071281</c:v>
                </c:pt>
                <c:pt idx="157">
                  <c:v>1362.7909788806558</c:v>
                </c:pt>
                <c:pt idx="158">
                  <c:v>1368.0717939238184</c:v>
                </c:pt>
                <c:pt idx="159">
                  <c:v>1373.3730721252732</c:v>
                </c:pt>
                <c:pt idx="160">
                  <c:v>1378.6948927797587</c:v>
                </c:pt>
                <c:pt idx="161">
                  <c:v>1384.0373354892802</c:v>
                </c:pt>
                <c:pt idx="162">
                  <c:v>1389.4004801643011</c:v>
                </c:pt>
                <c:pt idx="163">
                  <c:v>1394.784407024938</c:v>
                </c:pt>
                <c:pt idx="164">
                  <c:v>1400.1891966021594</c:v>
                </c:pt>
                <c:pt idx="165">
                  <c:v>1405.6149297389929</c:v>
                </c:pt>
                <c:pt idx="166">
                  <c:v>1411.0616875917312</c:v>
                </c:pt>
                <c:pt idx="167">
                  <c:v>1416.5295516311494</c:v>
                </c:pt>
                <c:pt idx="168">
                  <c:v>1422.0186036437199</c:v>
                </c:pt>
                <c:pt idx="169">
                  <c:v>1427.5289257328395</c:v>
                </c:pt>
                <c:pt idx="170">
                  <c:v>1433.0606003200542</c:v>
                </c:pt>
                <c:pt idx="171">
                  <c:v>1438.6137101462944</c:v>
                </c:pt>
                <c:pt idx="172">
                  <c:v>1444.1883382731112</c:v>
                </c:pt>
                <c:pt idx="173">
                  <c:v>1449.7845680839196</c:v>
                </c:pt>
                <c:pt idx="174">
                  <c:v>1455.4024832852447</c:v>
                </c:pt>
                <c:pt idx="175">
                  <c:v>1461.042167907975</c:v>
                </c:pt>
                <c:pt idx="176">
                  <c:v>1466.7037063086184</c:v>
                </c:pt>
                <c:pt idx="177">
                  <c:v>1472.3871831705642</c:v>
                </c:pt>
                <c:pt idx="178">
                  <c:v>1478.0926835053501</c:v>
                </c:pt>
                <c:pt idx="179">
                  <c:v>1483.8202926539334</c:v>
                </c:pt>
                <c:pt idx="180">
                  <c:v>1489.5700962879673</c:v>
                </c:pt>
                <c:pt idx="181">
                  <c:v>1495.3421804110833</c:v>
                </c:pt>
                <c:pt idx="182">
                  <c:v>1501.1366313601761</c:v>
                </c:pt>
                <c:pt idx="183">
                  <c:v>1506.9535358066969</c:v>
                </c:pt>
                <c:pt idx="184">
                  <c:v>1512.792980757948</c:v>
                </c:pt>
                <c:pt idx="185">
                  <c:v>1518.6550535583849</c:v>
                </c:pt>
                <c:pt idx="186">
                  <c:v>1524.5398418909235</c:v>
                </c:pt>
                <c:pt idx="187">
                  <c:v>1530.447433778251</c:v>
                </c:pt>
                <c:pt idx="188">
                  <c:v>1536.3779175841416</c:v>
                </c:pt>
                <c:pt idx="189">
                  <c:v>1542.3313820147803</c:v>
                </c:pt>
                <c:pt idx="190">
                  <c:v>1548.3079161200876</c:v>
                </c:pt>
                <c:pt idx="191">
                  <c:v>1554.3076092950528</c:v>
                </c:pt>
                <c:pt idx="192">
                  <c:v>1560.3305512810712</c:v>
                </c:pt>
                <c:pt idx="193">
                  <c:v>1566.3768321672853</c:v>
                </c:pt>
                <c:pt idx="194">
                  <c:v>1572.4465423919337</c:v>
                </c:pt>
                <c:pt idx="195">
                  <c:v>1578.5397727437023</c:v>
                </c:pt>
                <c:pt idx="196">
                  <c:v>1584.6566143630841</c:v>
                </c:pt>
                <c:pt idx="197">
                  <c:v>1590.797158743741</c:v>
                </c:pt>
                <c:pt idx="198">
                  <c:v>1596.9614977338731</c:v>
                </c:pt>
                <c:pt idx="199">
                  <c:v>1603.1497235375919</c:v>
                </c:pt>
                <c:pt idx="200">
                  <c:v>1609.3619287163001</c:v>
                </c:pt>
                <c:pt idx="201">
                  <c:v>1615.5982061900756</c:v>
                </c:pt>
                <c:pt idx="202">
                  <c:v>1621.8586492390623</c:v>
                </c:pt>
                <c:pt idx="203">
                  <c:v>1628.1433515048634</c:v>
                </c:pt>
                <c:pt idx="204">
                  <c:v>1634.4524069919448</c:v>
                </c:pt>
                <c:pt idx="205">
                  <c:v>1640.7859100690387</c:v>
                </c:pt>
                <c:pt idx="206">
                  <c:v>1647.1439554705562</c:v>
                </c:pt>
                <c:pt idx="207">
                  <c:v>1653.5266382980046</c:v>
                </c:pt>
                <c:pt idx="208">
                  <c:v>1659.9340540214093</c:v>
                </c:pt>
                <c:pt idx="209">
                  <c:v>1666.3662984807424</c:v>
                </c:pt>
                <c:pt idx="210">
                  <c:v>1672.8234678873553</c:v>
                </c:pt>
                <c:pt idx="211">
                  <c:v>1679.3056588254187</c:v>
                </c:pt>
                <c:pt idx="212">
                  <c:v>1685.8129682533672</c:v>
                </c:pt>
                <c:pt idx="213">
                  <c:v>1692.3454935053492</c:v>
                </c:pt>
                <c:pt idx="214">
                  <c:v>1698.9033322926823</c:v>
                </c:pt>
                <c:pt idx="215">
                  <c:v>1705.4865827053163</c:v>
                </c:pt>
                <c:pt idx="216">
                  <c:v>1712.0953432132994</c:v>
                </c:pt>
                <c:pt idx="217">
                  <c:v>1718.7297126682511</c:v>
                </c:pt>
                <c:pt idx="218">
                  <c:v>1725.3897903048405</c:v>
                </c:pt>
                <c:pt idx="219">
                  <c:v>1732.0756757422716</c:v>
                </c:pt>
                <c:pt idx="220">
                  <c:v>1738.7874689857731</c:v>
                </c:pt>
                <c:pt idx="221">
                  <c:v>1745.5252704280929</c:v>
                </c:pt>
                <c:pt idx="222">
                  <c:v>1752.2891808510017</c:v>
                </c:pt>
                <c:pt idx="223">
                  <c:v>1759.0793014267992</c:v>
                </c:pt>
                <c:pt idx="224">
                  <c:v>1765.8957337198283</c:v>
                </c:pt>
                <c:pt idx="225">
                  <c:v>1772.7385796879926</c:v>
                </c:pt>
                <c:pt idx="226">
                  <c:v>1779.6079416842836</c:v>
                </c:pt>
                <c:pt idx="227">
                  <c:v>1786.5039224583102</c:v>
                </c:pt>
                <c:pt idx="228">
                  <c:v>1793.426625157836</c:v>
                </c:pt>
                <c:pt idx="229">
                  <c:v>1800.3761533303227</c:v>
                </c:pt>
                <c:pt idx="230">
                  <c:v>1807.3526109244776</c:v>
                </c:pt>
                <c:pt idx="231">
                  <c:v>1814.35610229181</c:v>
                </c:pt>
                <c:pt idx="232">
                  <c:v>1821.3867321881908</c:v>
                </c:pt>
                <c:pt idx="233">
                  <c:v>1828.4446057754201</c:v>
                </c:pt>
                <c:pt idx="234">
                  <c:v>1835.5298286227999</c:v>
                </c:pt>
                <c:pt idx="235">
                  <c:v>1842.6425067087132</c:v>
                </c:pt>
                <c:pt idx="236">
                  <c:v>1849.7827464222094</c:v>
                </c:pt>
                <c:pt idx="237">
                  <c:v>1856.9506545645954</c:v>
                </c:pt>
                <c:pt idx="238">
                  <c:v>1864.1463383510331</c:v>
                </c:pt>
                <c:pt idx="239">
                  <c:v>1871.3699054121435</c:v>
                </c:pt>
                <c:pt idx="240">
                  <c:v>1878.6214637956155</c:v>
                </c:pt>
                <c:pt idx="241">
                  <c:v>1885.9011219678237</c:v>
                </c:pt>
                <c:pt idx="242">
                  <c:v>1893.2089888154489</c:v>
                </c:pt>
                <c:pt idx="243">
                  <c:v>1900.5451736471086</c:v>
                </c:pt>
                <c:pt idx="244">
                  <c:v>1907.9097861949913</c:v>
                </c:pt>
                <c:pt idx="245">
                  <c:v>1915.3029366164969</c:v>
                </c:pt>
                <c:pt idx="246">
                  <c:v>1922.7247354958859</c:v>
                </c:pt>
                <c:pt idx="247">
                  <c:v>1930.1752938459324</c:v>
                </c:pt>
                <c:pt idx="248">
                  <c:v>1937.6547231095853</c:v>
                </c:pt>
                <c:pt idx="249">
                  <c:v>1945.163135161635</c:v>
                </c:pt>
                <c:pt idx="250">
                  <c:v>1952.7006423103862</c:v>
                </c:pt>
                <c:pt idx="251">
                  <c:v>1960.267357299339</c:v>
                </c:pt>
                <c:pt idx="252">
                  <c:v>1967.863393308874</c:v>
                </c:pt>
                <c:pt idx="253">
                  <c:v>1975.488863957946</c:v>
                </c:pt>
                <c:pt idx="254">
                  <c:v>1983.143883305783</c:v>
                </c:pt>
                <c:pt idx="255">
                  <c:v>1990.8285658535929</c:v>
                </c:pt>
                <c:pt idx="256">
                  <c:v>1998.5430265462755</c:v>
                </c:pt>
                <c:pt idx="257">
                  <c:v>2006.2873807741423</c:v>
                </c:pt>
                <c:pt idx="258">
                  <c:v>2014.0617443746421</c:v>
                </c:pt>
                <c:pt idx="259">
                  <c:v>2021.866233634094</c:v>
                </c:pt>
                <c:pt idx="260">
                  <c:v>2029.700965289426</c:v>
                </c:pt>
                <c:pt idx="261">
                  <c:v>802.4130188916622</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1"/>
          <c:extLst>
            <c:ext xmlns:c16="http://schemas.microsoft.com/office/drawing/2014/chart" uri="{C3380CC4-5D6E-409C-BE32-E72D297353CC}">
              <c16:uniqueId val="{00000001-FB6D-46BA-8360-7D646DFE7DBF}"/>
            </c:ext>
          </c:extLst>
        </c:ser>
        <c:dLbls>
          <c:showLegendKey val="0"/>
          <c:showVal val="0"/>
          <c:showCatName val="0"/>
          <c:showSerName val="0"/>
          <c:showPercent val="0"/>
          <c:showBubbleSize val="0"/>
        </c:dLbls>
        <c:hiLowLines>
          <c:spPr>
            <a:ln w="0">
              <a:noFill/>
            </a:ln>
          </c:spPr>
        </c:hiLowLines>
        <c:smooth val="0"/>
        <c:axId val="30292150"/>
        <c:axId val="38845346"/>
      </c:lineChart>
      <c:catAx>
        <c:axId val="30292150"/>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Payment Number</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38845346"/>
        <c:crosses val="autoZero"/>
        <c:auto val="1"/>
        <c:lblAlgn val="ctr"/>
        <c:lblOffset val="100"/>
        <c:noMultiLvlLbl val="0"/>
      </c:catAx>
      <c:valAx>
        <c:axId val="38845346"/>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Amount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30292150"/>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Q5(v): Term Structure — Observed vs Fitted</a:t>
            </a:r>
          </a:p>
        </c:rich>
      </c:tx>
      <c:overlay val="0"/>
      <c:spPr>
        <a:noFill/>
        <a:ln w="0">
          <a:noFill/>
        </a:ln>
      </c:spPr>
    </c:title>
    <c:autoTitleDeleted val="0"/>
    <c:plotArea>
      <c:layout/>
      <c:lineChart>
        <c:grouping val="standard"/>
        <c:varyColors val="0"/>
        <c:ser>
          <c:idx val="0"/>
          <c:order val="0"/>
          <c:tx>
            <c:strRef>
              <c:f>Q5_v_TermStructure!$C$6</c:f>
              <c:strCache>
                <c:ptCount val="1"/>
                <c:pt idx="0">
                  <c:v>Spot rate (cc)</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Q5_v_TermStructure!$A$7:$A$13</c:f>
              <c:numCache>
                <c:formatCode>General</c:formatCode>
                <c:ptCount val="7"/>
                <c:pt idx="0">
                  <c:v>0.5</c:v>
                </c:pt>
                <c:pt idx="1">
                  <c:v>1</c:v>
                </c:pt>
                <c:pt idx="2">
                  <c:v>2</c:v>
                </c:pt>
                <c:pt idx="3">
                  <c:v>3</c:v>
                </c:pt>
                <c:pt idx="4">
                  <c:v>5</c:v>
                </c:pt>
                <c:pt idx="5">
                  <c:v>7</c:v>
                </c:pt>
                <c:pt idx="6">
                  <c:v>10</c:v>
                </c:pt>
              </c:numCache>
            </c:numRef>
          </c:cat>
          <c:val>
            <c:numRef>
              <c:f>Q5_v_TermStructure!$C$7:$C$13</c:f>
              <c:numCache>
                <c:formatCode>0.00%</c:formatCode>
                <c:ptCount val="7"/>
                <c:pt idx="0">
                  <c:v>3.8365638833547974E-2</c:v>
                </c:pt>
                <c:pt idx="1">
                  <c:v>3.9989008216363281E-2</c:v>
                </c:pt>
                <c:pt idx="2">
                  <c:v>4.049657960476593E-2</c:v>
                </c:pt>
                <c:pt idx="3">
                  <c:v>4.0007680866576786E-2</c:v>
                </c:pt>
                <c:pt idx="4">
                  <c:v>4.0496689723581412E-2</c:v>
                </c:pt>
                <c:pt idx="5">
                  <c:v>3.9996926866678342E-2</c:v>
                </c:pt>
                <c:pt idx="6">
                  <c:v>4.2250954271742289E-2</c:v>
                </c:pt>
              </c:numCache>
            </c:numRef>
          </c:val>
          <c:smooth val="1"/>
          <c:extLst>
            <c:ext xmlns:c16="http://schemas.microsoft.com/office/drawing/2014/chart" uri="{C3380CC4-5D6E-409C-BE32-E72D297353CC}">
              <c16:uniqueId val="{00000000-9EA6-402D-9CD6-D9CF8C96FAAD}"/>
            </c:ext>
          </c:extLst>
        </c:ser>
        <c:ser>
          <c:idx val="1"/>
          <c:order val="1"/>
          <c:tx>
            <c:strRef>
              <c:f>Q5_v_TermStructure!$D$6</c:f>
              <c:strCache>
                <c:ptCount val="1"/>
                <c:pt idx="0">
                  <c:v>Fitted rate</c:v>
                </c:pt>
              </c:strCache>
            </c:strRef>
          </c:tx>
          <c:spPr>
            <a:ln w="47520">
              <a:solidFill>
                <a:srgbClr val="BE4B48"/>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Q5_v_TermStructure!$A$7:$A$13</c:f>
              <c:numCache>
                <c:formatCode>General</c:formatCode>
                <c:ptCount val="7"/>
                <c:pt idx="0">
                  <c:v>0.5</c:v>
                </c:pt>
                <c:pt idx="1">
                  <c:v>1</c:v>
                </c:pt>
                <c:pt idx="2">
                  <c:v>2</c:v>
                </c:pt>
                <c:pt idx="3">
                  <c:v>3</c:v>
                </c:pt>
                <c:pt idx="4">
                  <c:v>5</c:v>
                </c:pt>
                <c:pt idx="5">
                  <c:v>7</c:v>
                </c:pt>
                <c:pt idx="6">
                  <c:v>10</c:v>
                </c:pt>
              </c:numCache>
            </c:numRef>
          </c:cat>
          <c:val>
            <c:numRef>
              <c:f>Q5_v_TermStructure!$D$7:$D$13</c:f>
              <c:numCache>
                <c:formatCode>0.00%</c:formatCode>
                <c:ptCount val="7"/>
                <c:pt idx="0">
                  <c:v>3.9307650875518504E-2</c:v>
                </c:pt>
                <c:pt idx="1">
                  <c:v>3.9436649320611035E-2</c:v>
                </c:pt>
                <c:pt idx="2">
                  <c:v>3.9694646210796096E-2</c:v>
                </c:pt>
                <c:pt idx="3">
                  <c:v>3.9952643100981157E-2</c:v>
                </c:pt>
                <c:pt idx="4">
                  <c:v>4.0468636881351279E-2</c:v>
                </c:pt>
                <c:pt idx="5">
                  <c:v>4.0984630661721401E-2</c:v>
                </c:pt>
                <c:pt idx="6">
                  <c:v>4.1758621332276584E-2</c:v>
                </c:pt>
              </c:numCache>
            </c:numRef>
          </c:val>
          <c:smooth val="1"/>
          <c:extLst>
            <c:ext xmlns:c16="http://schemas.microsoft.com/office/drawing/2014/chart" uri="{C3380CC4-5D6E-409C-BE32-E72D297353CC}">
              <c16:uniqueId val="{00000001-9EA6-402D-9CD6-D9CF8C96FAAD}"/>
            </c:ext>
          </c:extLst>
        </c:ser>
        <c:dLbls>
          <c:showLegendKey val="0"/>
          <c:showVal val="0"/>
          <c:showCatName val="0"/>
          <c:showSerName val="0"/>
          <c:showPercent val="0"/>
          <c:showBubbleSize val="0"/>
        </c:dLbls>
        <c:hiLowLines>
          <c:spPr>
            <a:ln w="0">
              <a:noFill/>
            </a:ln>
          </c:spPr>
        </c:hiLowLines>
        <c:smooth val="0"/>
        <c:axId val="71852530"/>
        <c:axId val="35415163"/>
      </c:lineChart>
      <c:catAx>
        <c:axId val="71852530"/>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Maturity (years)</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35415163"/>
        <c:crosses val="autoZero"/>
        <c:auto val="1"/>
        <c:lblAlgn val="ctr"/>
        <c:lblOffset val="100"/>
        <c:noMultiLvlLbl val="0"/>
      </c:catAx>
      <c:valAx>
        <c:axId val="35415163"/>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Spot Rate (continuous)</a:t>
                </a:r>
              </a:p>
            </c:rich>
          </c:tx>
          <c:overlay val="0"/>
          <c:spPr>
            <a:noFill/>
            <a:ln w="0">
              <a:noFill/>
            </a:ln>
          </c:spPr>
        </c:title>
        <c:numFmt formatCode="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71852530"/>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Q6(i): Call Value vs Futures Price</a:t>
            </a:r>
          </a:p>
        </c:rich>
      </c:tx>
      <c:overlay val="0"/>
      <c:spPr>
        <a:noFill/>
        <a:ln w="0">
          <a:noFill/>
        </a:ln>
      </c:spPr>
    </c:title>
    <c:autoTitleDeleted val="0"/>
    <c:plotArea>
      <c:layout/>
      <c:lineChart>
        <c:grouping val="standard"/>
        <c:varyColors val="0"/>
        <c:ser>
          <c:idx val="0"/>
          <c:order val="0"/>
          <c:tx>
            <c:strRef>
              <c:f>Q6_i_Black76!$E$5</c:f>
              <c:strCache>
                <c:ptCount val="1"/>
                <c:pt idx="0">
                  <c:v>Call value</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Q6_i_Black76!$D$6:$D$13</c:f>
              <c:numCache>
                <c:formatCode>General</c:formatCode>
                <c:ptCount val="8"/>
                <c:pt idx="0">
                  <c:v>100</c:v>
                </c:pt>
                <c:pt idx="1">
                  <c:v>102</c:v>
                </c:pt>
                <c:pt idx="2">
                  <c:v>104</c:v>
                </c:pt>
                <c:pt idx="3">
                  <c:v>106</c:v>
                </c:pt>
                <c:pt idx="4">
                  <c:v>108</c:v>
                </c:pt>
                <c:pt idx="5">
                  <c:v>110</c:v>
                </c:pt>
                <c:pt idx="6">
                  <c:v>112</c:v>
                </c:pt>
                <c:pt idx="7">
                  <c:v>114</c:v>
                </c:pt>
              </c:numCache>
            </c:numRef>
          </c:cat>
          <c:val>
            <c:numRef>
              <c:f>Q6_i_Black76!$E$6:$E$13</c:f>
              <c:numCache>
                <c:formatCode>\€#\ ##0.00;[Red]"(€"#\ ##0.00\);\-</c:formatCode>
                <c:ptCount val="8"/>
                <c:pt idx="0">
                  <c:v>3.1252304049259245</c:v>
                </c:pt>
                <c:pt idx="1">
                  <c:v>3.8574699787814763</c:v>
                </c:pt>
                <c:pt idx="2">
                  <c:v>4.6900396880961157</c:v>
                </c:pt>
                <c:pt idx="3">
                  <c:v>5.6234542656334607</c:v>
                </c:pt>
                <c:pt idx="4">
                  <c:v>6.6565268167045026</c:v>
                </c:pt>
                <c:pt idx="5">
                  <c:v>7.7865197119792784</c:v>
                </c:pt>
                <c:pt idx="6">
                  <c:v>9.0093545285022909</c:v>
                </c:pt>
                <c:pt idx="7">
                  <c:v>10.319860395827538</c:v>
                </c:pt>
              </c:numCache>
            </c:numRef>
          </c:val>
          <c:smooth val="1"/>
          <c:extLst>
            <c:ext xmlns:c16="http://schemas.microsoft.com/office/drawing/2014/chart" uri="{C3380CC4-5D6E-409C-BE32-E72D297353CC}">
              <c16:uniqueId val="{00000000-E21E-47AC-8186-21564A021814}"/>
            </c:ext>
          </c:extLst>
        </c:ser>
        <c:dLbls>
          <c:showLegendKey val="0"/>
          <c:showVal val="0"/>
          <c:showCatName val="0"/>
          <c:showSerName val="0"/>
          <c:showPercent val="0"/>
          <c:showBubbleSize val="0"/>
        </c:dLbls>
        <c:hiLowLines>
          <c:spPr>
            <a:ln w="0">
              <a:noFill/>
            </a:ln>
          </c:spPr>
        </c:hiLowLines>
        <c:smooth val="0"/>
        <c:axId val="27487778"/>
        <c:axId val="27080769"/>
      </c:lineChart>
      <c:catAx>
        <c:axId val="27487778"/>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Futures Price</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27080769"/>
        <c:crosses val="autoZero"/>
        <c:auto val="1"/>
        <c:lblAlgn val="ctr"/>
        <c:lblOffset val="100"/>
        <c:noMultiLvlLbl val="0"/>
      </c:catAx>
      <c:valAx>
        <c:axId val="27080769"/>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Call Value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27487778"/>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zero"/>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Q6(i): Call Value vs Volatility</a:t>
            </a:r>
          </a:p>
        </c:rich>
      </c:tx>
      <c:overlay val="0"/>
      <c:spPr>
        <a:noFill/>
        <a:ln w="0">
          <a:noFill/>
        </a:ln>
      </c:spPr>
    </c:title>
    <c:autoTitleDeleted val="0"/>
    <c:plotArea>
      <c:layout/>
      <c:lineChart>
        <c:grouping val="standard"/>
        <c:varyColors val="0"/>
        <c:ser>
          <c:idx val="0"/>
          <c:order val="0"/>
          <c:tx>
            <c:strRef>
              <c:f>Q6_i_Black76!$H$5</c:f>
              <c:strCache>
                <c:ptCount val="1"/>
                <c:pt idx="0">
                  <c:v>4,242429453</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Q6_i_Black76!$G$6:$G$15</c:f>
              <c:numCache>
                <c:formatCode>General</c:formatCode>
                <c:ptCount val="10"/>
                <c:pt idx="0">
                  <c:v>0.12</c:v>
                </c:pt>
                <c:pt idx="1">
                  <c:v>0.14000000000000001</c:v>
                </c:pt>
                <c:pt idx="2">
                  <c:v>0.16</c:v>
                </c:pt>
                <c:pt idx="3">
                  <c:v>0.18</c:v>
                </c:pt>
                <c:pt idx="4">
                  <c:v>0.2</c:v>
                </c:pt>
                <c:pt idx="5">
                  <c:v>0.22</c:v>
                </c:pt>
                <c:pt idx="6">
                  <c:v>0.24</c:v>
                </c:pt>
                <c:pt idx="7">
                  <c:v>0.26</c:v>
                </c:pt>
                <c:pt idx="8">
                  <c:v>0.28000000000000003</c:v>
                </c:pt>
                <c:pt idx="9">
                  <c:v>0.3</c:v>
                </c:pt>
              </c:numCache>
            </c:numRef>
          </c:cat>
          <c:val>
            <c:numRef>
              <c:f>Q6_i_Black76!$H$6:$H$15</c:f>
              <c:numCache>
                <c:formatCode>General</c:formatCode>
                <c:ptCount val="10"/>
                <c:pt idx="0">
                  <c:v>4.9622022103776038</c:v>
                </c:pt>
                <c:pt idx="1">
                  <c:v>5.6830728304517191</c:v>
                </c:pt>
                <c:pt idx="2">
                  <c:v>6.4044546432941196</c:v>
                </c:pt>
                <c:pt idx="3">
                  <c:v>7.1259970569692017</c:v>
                </c:pt>
                <c:pt idx="4">
                  <c:v>7.8474679192728729</c:v>
                </c:pt>
                <c:pt idx="5">
                  <c:v>8.5686998626981943</c:v>
                </c:pt>
                <c:pt idx="6">
                  <c:v>9.2895634193178118</c:v>
                </c:pt>
                <c:pt idx="7">
                  <c:v>10.009952525527137</c:v>
                </c:pt>
                <c:pt idx="8">
                  <c:v>10.729776233997557</c:v>
                </c:pt>
                <c:pt idx="9">
                  <c:v>11.448953740969856</c:v>
                </c:pt>
              </c:numCache>
            </c:numRef>
          </c:val>
          <c:smooth val="1"/>
          <c:extLst>
            <c:ext xmlns:c16="http://schemas.microsoft.com/office/drawing/2014/chart" uri="{C3380CC4-5D6E-409C-BE32-E72D297353CC}">
              <c16:uniqueId val="{00000000-0162-455C-85F3-0EFAD186A3BA}"/>
            </c:ext>
          </c:extLst>
        </c:ser>
        <c:dLbls>
          <c:showLegendKey val="0"/>
          <c:showVal val="0"/>
          <c:showCatName val="0"/>
          <c:showSerName val="0"/>
          <c:showPercent val="0"/>
          <c:showBubbleSize val="0"/>
        </c:dLbls>
        <c:hiLowLines>
          <c:spPr>
            <a:ln w="0">
              <a:noFill/>
            </a:ln>
          </c:spPr>
        </c:hiLowLines>
        <c:smooth val="0"/>
        <c:axId val="79033432"/>
        <c:axId val="44183563"/>
      </c:lineChart>
      <c:catAx>
        <c:axId val="79033432"/>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Volatility</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44183563"/>
        <c:crosses val="autoZero"/>
        <c:auto val="1"/>
        <c:lblAlgn val="ctr"/>
        <c:lblOffset val="100"/>
        <c:noMultiLvlLbl val="0"/>
      </c:catAx>
      <c:valAx>
        <c:axId val="44183563"/>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Call Value (€)</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79033432"/>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zero"/>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O"/>
        </a:p>
      </c:txPr>
    </c:title>
    <c:autoTitleDeleted val="0"/>
    <c:plotArea>
      <c:layout/>
      <c:lineChart>
        <c:grouping val="standard"/>
        <c:varyColors val="0"/>
        <c:ser>
          <c:idx val="0"/>
          <c:order val="0"/>
          <c:tx>
            <c:strRef>
              <c:f>Data_From_Collab!$B$1</c:f>
              <c:strCache>
                <c:ptCount val="1"/>
                <c:pt idx="0">
                  <c:v>AMZN</c:v>
                </c:pt>
              </c:strCache>
            </c:strRef>
          </c:tx>
          <c:spPr>
            <a:ln w="28575" cap="rnd">
              <a:solidFill>
                <a:schemeClr val="accent1"/>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Data_From_Collab!$B$2:$B$252</c:f>
              <c:numCache>
                <c:formatCode>General</c:formatCode>
                <c:ptCount val="251"/>
                <c:pt idx="0">
                  <c:v>1.2011000000000001</c:v>
                </c:pt>
                <c:pt idx="1">
                  <c:v>1.2165999999999999</c:v>
                </c:pt>
                <c:pt idx="2">
                  <c:v>1.2058</c:v>
                </c:pt>
                <c:pt idx="3">
                  <c:v>1.2277</c:v>
                </c:pt>
                <c:pt idx="4">
                  <c:v>1.2424999999999999</c:v>
                </c:pt>
                <c:pt idx="5">
                  <c:v>1.2529999999999999</c:v>
                </c:pt>
                <c:pt idx="6">
                  <c:v>1.2661</c:v>
                </c:pt>
                <c:pt idx="7">
                  <c:v>1.2122999999999999</c:v>
                </c:pt>
                <c:pt idx="8">
                  <c:v>1.2424999999999999</c:v>
                </c:pt>
                <c:pt idx="9">
                  <c:v>1.2343</c:v>
                </c:pt>
                <c:pt idx="10">
                  <c:v>1.2657</c:v>
                </c:pt>
                <c:pt idx="11">
                  <c:v>1.2665999999999999</c:v>
                </c:pt>
                <c:pt idx="12">
                  <c:v>1.2642</c:v>
                </c:pt>
                <c:pt idx="13">
                  <c:v>1.2710999999999999</c:v>
                </c:pt>
                <c:pt idx="14">
                  <c:v>1.2548999999999999</c:v>
                </c:pt>
                <c:pt idx="15">
                  <c:v>1.2578</c:v>
                </c:pt>
                <c:pt idx="16">
                  <c:v>1.2483</c:v>
                </c:pt>
                <c:pt idx="17">
                  <c:v>1.3015000000000001</c:v>
                </c:pt>
                <c:pt idx="18">
                  <c:v>1.2932999999999999</c:v>
                </c:pt>
                <c:pt idx="19">
                  <c:v>1.2733000000000001</c:v>
                </c:pt>
                <c:pt idx="20">
                  <c:v>1.2918000000000001</c:v>
                </c:pt>
                <c:pt idx="21">
                  <c:v>1.2904</c:v>
                </c:pt>
                <c:pt idx="22">
                  <c:v>1.2789999999999999</c:v>
                </c:pt>
                <c:pt idx="23">
                  <c:v>1.3036000000000001</c:v>
                </c:pt>
                <c:pt idx="24">
                  <c:v>1.3022</c:v>
                </c:pt>
                <c:pt idx="25">
                  <c:v>1.3038000000000001</c:v>
                </c:pt>
                <c:pt idx="26">
                  <c:v>1.2836000000000001</c:v>
                </c:pt>
                <c:pt idx="27">
                  <c:v>1.2978000000000001</c:v>
                </c:pt>
                <c:pt idx="28">
                  <c:v>1.2713000000000001</c:v>
                </c:pt>
                <c:pt idx="29">
                  <c:v>1.2878000000000001</c:v>
                </c:pt>
                <c:pt idx="30">
                  <c:v>1.3080000000000001</c:v>
                </c:pt>
                <c:pt idx="31">
                  <c:v>1.343</c:v>
                </c:pt>
                <c:pt idx="32">
                  <c:v>1.3468</c:v>
                </c:pt>
                <c:pt idx="33">
                  <c:v>1.3355999999999999</c:v>
                </c:pt>
                <c:pt idx="34">
                  <c:v>1.3283</c:v>
                </c:pt>
                <c:pt idx="35">
                  <c:v>1.3535999999999999</c:v>
                </c:pt>
                <c:pt idx="36">
                  <c:v>1.2996000000000001</c:v>
                </c:pt>
                <c:pt idx="37">
                  <c:v>1.3</c:v>
                </c:pt>
                <c:pt idx="38">
                  <c:v>1.288</c:v>
                </c:pt>
                <c:pt idx="39">
                  <c:v>1.2912999999999999</c:v>
                </c:pt>
                <c:pt idx="40">
                  <c:v>1.2815000000000001</c:v>
                </c:pt>
                <c:pt idx="41">
                  <c:v>1.2825</c:v>
                </c:pt>
                <c:pt idx="42">
                  <c:v>1.3221000000000001</c:v>
                </c:pt>
                <c:pt idx="43">
                  <c:v>1.3368</c:v>
                </c:pt>
                <c:pt idx="44">
                  <c:v>1.3169</c:v>
                </c:pt>
                <c:pt idx="45">
                  <c:v>1.2821</c:v>
                </c:pt>
                <c:pt idx="46">
                  <c:v>1.2890999999999999</c:v>
                </c:pt>
                <c:pt idx="47">
                  <c:v>1.3956999999999999</c:v>
                </c:pt>
                <c:pt idx="48">
                  <c:v>1.4221999999999999</c:v>
                </c:pt>
                <c:pt idx="49">
                  <c:v>1.3994</c:v>
                </c:pt>
                <c:pt idx="50">
                  <c:v>1.3785000000000001</c:v>
                </c:pt>
                <c:pt idx="51">
                  <c:v>1.3855999999999999</c:v>
                </c:pt>
                <c:pt idx="52">
                  <c:v>1.3841000000000001</c:v>
                </c:pt>
                <c:pt idx="53">
                  <c:v>1.4056999999999999</c:v>
                </c:pt>
                <c:pt idx="54">
                  <c:v>1.3767</c:v>
                </c:pt>
                <c:pt idx="55">
                  <c:v>1.3507</c:v>
                </c:pt>
                <c:pt idx="56">
                  <c:v>1.3398000000000001</c:v>
                </c:pt>
                <c:pt idx="57">
                  <c:v>1.3322000000000001</c:v>
                </c:pt>
                <c:pt idx="58">
                  <c:v>1.3468</c:v>
                </c:pt>
                <c:pt idx="59">
                  <c:v>1.3425</c:v>
                </c:pt>
                <c:pt idx="60">
                  <c:v>1.3552</c:v>
                </c:pt>
                <c:pt idx="61">
                  <c:v>1.3184</c:v>
                </c:pt>
                <c:pt idx="62">
                  <c:v>1.3326</c:v>
                </c:pt>
                <c:pt idx="63">
                  <c:v>1.3313999999999999</c:v>
                </c:pt>
                <c:pt idx="64">
                  <c:v>1.3491</c:v>
                </c:pt>
                <c:pt idx="65">
                  <c:v>1.3507</c:v>
                </c:pt>
                <c:pt idx="66">
                  <c:v>1.3801000000000001</c:v>
                </c:pt>
                <c:pt idx="67">
                  <c:v>1.3812</c:v>
                </c:pt>
                <c:pt idx="68">
                  <c:v>1.3727</c:v>
                </c:pt>
                <c:pt idx="69">
                  <c:v>1.3535999999999999</c:v>
                </c:pt>
                <c:pt idx="70">
                  <c:v>1.3785000000000001</c:v>
                </c:pt>
                <c:pt idx="71">
                  <c:v>1.3823000000000001</c:v>
                </c:pt>
                <c:pt idx="72">
                  <c:v>1.431</c:v>
                </c:pt>
                <c:pt idx="73">
                  <c:v>1.4123000000000001</c:v>
                </c:pt>
                <c:pt idx="74">
                  <c:v>1.4484999999999999</c:v>
                </c:pt>
                <c:pt idx="75">
                  <c:v>1.4472</c:v>
                </c:pt>
                <c:pt idx="76">
                  <c:v>1.4038999999999999</c:v>
                </c:pt>
                <c:pt idx="77">
                  <c:v>1.3997999999999999</c:v>
                </c:pt>
                <c:pt idx="78">
                  <c:v>1.3763000000000001</c:v>
                </c:pt>
                <c:pt idx="79">
                  <c:v>1.3529</c:v>
                </c:pt>
                <c:pt idx="80">
                  <c:v>1.2932999999999999</c:v>
                </c:pt>
                <c:pt idx="81">
                  <c:v>1.2911999999999999</c:v>
                </c:pt>
                <c:pt idx="82">
                  <c:v>1.3127</c:v>
                </c:pt>
                <c:pt idx="83">
                  <c:v>1.2598</c:v>
                </c:pt>
                <c:pt idx="84">
                  <c:v>1.2598</c:v>
                </c:pt>
                <c:pt idx="85">
                  <c:v>1.2598</c:v>
                </c:pt>
                <c:pt idx="86">
                  <c:v>1.2712000000000001</c:v>
                </c:pt>
                <c:pt idx="87">
                  <c:v>1.2946</c:v>
                </c:pt>
                <c:pt idx="88">
                  <c:v>1.2472000000000001</c:v>
                </c:pt>
                <c:pt idx="89">
                  <c:v>1.27</c:v>
                </c:pt>
                <c:pt idx="90">
                  <c:v>1.2596000000000001</c:v>
                </c:pt>
                <c:pt idx="91">
                  <c:v>1.2796000000000001</c:v>
                </c:pt>
                <c:pt idx="92">
                  <c:v>1.2826</c:v>
                </c:pt>
                <c:pt idx="93">
                  <c:v>1.2948</c:v>
                </c:pt>
                <c:pt idx="94">
                  <c:v>1.3183</c:v>
                </c:pt>
                <c:pt idx="95">
                  <c:v>1.3232999999999999</c:v>
                </c:pt>
                <c:pt idx="96">
                  <c:v>1.2979000000000001</c:v>
                </c:pt>
                <c:pt idx="97">
                  <c:v>1.3254999999999999</c:v>
                </c:pt>
                <c:pt idx="98">
                  <c:v>1.3147</c:v>
                </c:pt>
                <c:pt idx="99">
                  <c:v>1.2813000000000001</c:v>
                </c:pt>
                <c:pt idx="100">
                  <c:v>1.284</c:v>
                </c:pt>
                <c:pt idx="101">
                  <c:v>1.2517</c:v>
                </c:pt>
                <c:pt idx="102">
                  <c:v>1.2656000000000001</c:v>
                </c:pt>
                <c:pt idx="103">
                  <c:v>1.2856000000000001</c:v>
                </c:pt>
                <c:pt idx="104">
                  <c:v>1.2139</c:v>
                </c:pt>
                <c:pt idx="105">
                  <c:v>1.1957</c:v>
                </c:pt>
                <c:pt idx="106">
                  <c:v>1.2774000000000001</c:v>
                </c:pt>
                <c:pt idx="107">
                  <c:v>1.3270999999999999</c:v>
                </c:pt>
                <c:pt idx="108">
                  <c:v>1.3309</c:v>
                </c:pt>
                <c:pt idx="109">
                  <c:v>1.37</c:v>
                </c:pt>
                <c:pt idx="110">
                  <c:v>1.3807</c:v>
                </c:pt>
                <c:pt idx="111">
                  <c:v>1.3859999999999999</c:v>
                </c:pt>
                <c:pt idx="112">
                  <c:v>1.3974</c:v>
                </c:pt>
                <c:pt idx="113">
                  <c:v>1.4271</c:v>
                </c:pt>
                <c:pt idx="114">
                  <c:v>1.4208000000000001</c:v>
                </c:pt>
                <c:pt idx="115">
                  <c:v>1.4059999999999999</c:v>
                </c:pt>
                <c:pt idx="116">
                  <c:v>1.4356</c:v>
                </c:pt>
                <c:pt idx="117">
                  <c:v>1.4258999999999999</c:v>
                </c:pt>
                <c:pt idx="118">
                  <c:v>1.458</c:v>
                </c:pt>
                <c:pt idx="119">
                  <c:v>1.4319999999999999</c:v>
                </c:pt>
                <c:pt idx="120">
                  <c:v>1.4282999999999999</c:v>
                </c:pt>
                <c:pt idx="121">
                  <c:v>1.4518</c:v>
                </c:pt>
                <c:pt idx="122">
                  <c:v>1.4613</c:v>
                </c:pt>
                <c:pt idx="123">
                  <c:v>1.4390000000000001</c:v>
                </c:pt>
                <c:pt idx="124">
                  <c:v>1.4671000000000001</c:v>
                </c:pt>
                <c:pt idx="125">
                  <c:v>1.4674</c:v>
                </c:pt>
                <c:pt idx="126">
                  <c:v>1.4773000000000001</c:v>
                </c:pt>
                <c:pt idx="127">
                  <c:v>1.4702999999999999</c:v>
                </c:pt>
                <c:pt idx="128">
                  <c:v>1.4632000000000001</c:v>
                </c:pt>
                <c:pt idx="129">
                  <c:v>1.4609000000000001</c:v>
                </c:pt>
                <c:pt idx="130">
                  <c:v>1.4702999999999999</c:v>
                </c:pt>
                <c:pt idx="131">
                  <c:v>1.4483999999999999</c:v>
                </c:pt>
                <c:pt idx="132">
                  <c:v>1.4688000000000001</c:v>
                </c:pt>
                <c:pt idx="133">
                  <c:v>1.4452</c:v>
                </c:pt>
                <c:pt idx="134">
                  <c:v>1.4688000000000001</c:v>
                </c:pt>
                <c:pt idx="135">
                  <c:v>1.4742</c:v>
                </c:pt>
                <c:pt idx="136">
                  <c:v>1.4589000000000001</c:v>
                </c:pt>
                <c:pt idx="137">
                  <c:v>1.4748000000000001</c:v>
                </c:pt>
                <c:pt idx="138">
                  <c:v>1.4883999999999999</c:v>
                </c:pt>
                <c:pt idx="139">
                  <c:v>1.4742</c:v>
                </c:pt>
                <c:pt idx="140">
                  <c:v>1.4997</c:v>
                </c:pt>
                <c:pt idx="141">
                  <c:v>1.5407</c:v>
                </c:pt>
                <c:pt idx="142">
                  <c:v>1.5379</c:v>
                </c:pt>
                <c:pt idx="143">
                  <c:v>1.5212000000000001</c:v>
                </c:pt>
                <c:pt idx="144">
                  <c:v>1.5384</c:v>
                </c:pt>
                <c:pt idx="145">
                  <c:v>1.5342</c:v>
                </c:pt>
                <c:pt idx="146">
                  <c:v>1.5341</c:v>
                </c:pt>
                <c:pt idx="147">
                  <c:v>1.5334000000000001</c:v>
                </c:pt>
                <c:pt idx="148">
                  <c:v>1.5338000000000001</c:v>
                </c:pt>
                <c:pt idx="149">
                  <c:v>1.5194000000000001</c:v>
                </c:pt>
                <c:pt idx="150">
                  <c:v>1.4993000000000001</c:v>
                </c:pt>
                <c:pt idx="151">
                  <c:v>1.4846999999999999</c:v>
                </c:pt>
                <c:pt idx="152">
                  <c:v>1.4457</c:v>
                </c:pt>
                <c:pt idx="153">
                  <c:v>1.4523999999999999</c:v>
                </c:pt>
                <c:pt idx="154">
                  <c:v>1.4910000000000001</c:v>
                </c:pt>
                <c:pt idx="155">
                  <c:v>1.5137</c:v>
                </c:pt>
                <c:pt idx="156">
                  <c:v>1.5373000000000001</c:v>
                </c:pt>
                <c:pt idx="157">
                  <c:v>1.5518000000000001</c:v>
                </c:pt>
                <c:pt idx="158">
                  <c:v>1.5462</c:v>
                </c:pt>
                <c:pt idx="159">
                  <c:v>1.5316000000000001</c:v>
                </c:pt>
                <c:pt idx="160">
                  <c:v>1.5170999999999999</c:v>
                </c:pt>
                <c:pt idx="161">
                  <c:v>1.5349999999999999</c:v>
                </c:pt>
                <c:pt idx="162">
                  <c:v>1.5533999999999999</c:v>
                </c:pt>
                <c:pt idx="163">
                  <c:v>1.5478000000000001</c:v>
                </c:pt>
                <c:pt idx="164">
                  <c:v>1.5602</c:v>
                </c:pt>
                <c:pt idx="165">
                  <c:v>1.5687</c:v>
                </c:pt>
                <c:pt idx="166">
                  <c:v>1.5774999999999999</c:v>
                </c:pt>
                <c:pt idx="167">
                  <c:v>1.5911999999999999</c:v>
                </c:pt>
                <c:pt idx="168">
                  <c:v>1.6126</c:v>
                </c:pt>
                <c:pt idx="169">
                  <c:v>1.59</c:v>
                </c:pt>
                <c:pt idx="170">
                  <c:v>1.552</c:v>
                </c:pt>
                <c:pt idx="171">
                  <c:v>1.5928</c:v>
                </c:pt>
                <c:pt idx="172">
                  <c:v>1.7181</c:v>
                </c:pt>
                <c:pt idx="173">
                  <c:v>1.7031000000000001</c:v>
                </c:pt>
                <c:pt idx="174">
                  <c:v>1.6915</c:v>
                </c:pt>
                <c:pt idx="175">
                  <c:v>1.7053</c:v>
                </c:pt>
                <c:pt idx="176">
                  <c:v>1.6983999999999999</c:v>
                </c:pt>
                <c:pt idx="177">
                  <c:v>1.7444999999999999</c:v>
                </c:pt>
                <c:pt idx="178">
                  <c:v>1.7234</c:v>
                </c:pt>
                <c:pt idx="179">
                  <c:v>1.6863999999999999</c:v>
                </c:pt>
                <c:pt idx="180">
                  <c:v>1.7098</c:v>
                </c:pt>
                <c:pt idx="181">
                  <c:v>1.698</c:v>
                </c:pt>
                <c:pt idx="182">
                  <c:v>1.6951000000000001</c:v>
                </c:pt>
                <c:pt idx="183">
                  <c:v>1.6708000000000001</c:v>
                </c:pt>
                <c:pt idx="184">
                  <c:v>1.6859</c:v>
                </c:pt>
                <c:pt idx="185">
                  <c:v>1.7458</c:v>
                </c:pt>
                <c:pt idx="186">
                  <c:v>1.7499</c:v>
                </c:pt>
                <c:pt idx="187">
                  <c:v>1.7473000000000001</c:v>
                </c:pt>
                <c:pt idx="188">
                  <c:v>1.7354000000000001</c:v>
                </c:pt>
                <c:pt idx="189">
                  <c:v>1.7316</c:v>
                </c:pt>
                <c:pt idx="190">
                  <c:v>1.7676000000000001</c:v>
                </c:pt>
                <c:pt idx="191">
                  <c:v>1.7822</c:v>
                </c:pt>
                <c:pt idx="192">
                  <c:v>1.7758</c:v>
                </c:pt>
                <c:pt idx="193">
                  <c:v>1.7412000000000001</c:v>
                </c:pt>
                <c:pt idx="194">
                  <c:v>1.7351000000000001</c:v>
                </c:pt>
                <c:pt idx="195">
                  <c:v>1.7682</c:v>
                </c:pt>
                <c:pt idx="196">
                  <c:v>1.7535000000000001</c:v>
                </c:pt>
                <c:pt idx="197">
                  <c:v>1.7196</c:v>
                </c:pt>
                <c:pt idx="198">
                  <c:v>1.7539</c:v>
                </c:pt>
                <c:pt idx="199">
                  <c:v>1.7656000000000001</c:v>
                </c:pt>
                <c:pt idx="200">
                  <c:v>1.7875000000000001</c:v>
                </c:pt>
                <c:pt idx="201">
                  <c:v>1.7442</c:v>
                </c:pt>
                <c:pt idx="202">
                  <c:v>1.7447999999999999</c:v>
                </c:pt>
                <c:pt idx="203">
                  <c:v>1.7589999999999999</c:v>
                </c:pt>
                <c:pt idx="204">
                  <c:v>1.7815000000000001</c:v>
                </c:pt>
                <c:pt idx="205">
                  <c:v>1.7815000000000001</c:v>
                </c:pt>
                <c:pt idx="206">
                  <c:v>1.7887</c:v>
                </c:pt>
                <c:pt idx="207">
                  <c:v>1.7970999999999999</c:v>
                </c:pt>
                <c:pt idx="208">
                  <c:v>1.7829999999999999</c:v>
                </c:pt>
                <c:pt idx="209">
                  <c:v>1.7983</c:v>
                </c:pt>
                <c:pt idx="210">
                  <c:v>1.8038000000000001</c:v>
                </c:pt>
                <c:pt idx="211">
                  <c:v>1.8097000000000001</c:v>
                </c:pt>
                <c:pt idx="212">
                  <c:v>1.8069</c:v>
                </c:pt>
                <c:pt idx="213">
                  <c:v>1.8241000000000001</c:v>
                </c:pt>
                <c:pt idx="214">
                  <c:v>1.8</c:v>
                </c:pt>
                <c:pt idx="215">
                  <c:v>1.8507</c:v>
                </c:pt>
                <c:pt idx="216">
                  <c:v>1.8519000000000001</c:v>
                </c:pt>
                <c:pt idx="217">
                  <c:v>1.8567</c:v>
                </c:pt>
                <c:pt idx="218">
                  <c:v>1.8594999999999999</c:v>
                </c:pt>
                <c:pt idx="219">
                  <c:v>1.8905000000000001</c:v>
                </c:pt>
                <c:pt idx="220">
                  <c:v>1.8613</c:v>
                </c:pt>
                <c:pt idx="221">
                  <c:v>1.8362000000000001</c:v>
                </c:pt>
                <c:pt idx="222">
                  <c:v>1.8331999999999999</c:v>
                </c:pt>
                <c:pt idx="223">
                  <c:v>1.8128</c:v>
                </c:pt>
                <c:pt idx="224">
                  <c:v>1.7922</c:v>
                </c:pt>
                <c:pt idx="225">
                  <c:v>1.7463</c:v>
                </c:pt>
                <c:pt idx="226">
                  <c:v>1.7723</c:v>
                </c:pt>
                <c:pt idx="227">
                  <c:v>1.7954000000000001</c:v>
                </c:pt>
                <c:pt idx="228">
                  <c:v>1.7659</c:v>
                </c:pt>
                <c:pt idx="229">
                  <c:v>1.7366999999999999</c:v>
                </c:pt>
                <c:pt idx="230">
                  <c:v>1.7962</c:v>
                </c:pt>
                <c:pt idx="231">
                  <c:v>1.8096000000000001</c:v>
                </c:pt>
                <c:pt idx="232">
                  <c:v>1.75</c:v>
                </c:pt>
                <c:pt idx="233">
                  <c:v>1.79</c:v>
                </c:pt>
                <c:pt idx="234">
                  <c:v>1.8472</c:v>
                </c:pt>
                <c:pt idx="235">
                  <c:v>1.8621000000000001</c:v>
                </c:pt>
                <c:pt idx="236">
                  <c:v>1.887</c:v>
                </c:pt>
                <c:pt idx="237">
                  <c:v>1.8875999999999999</c:v>
                </c:pt>
                <c:pt idx="238">
                  <c:v>1.88</c:v>
                </c:pt>
                <c:pt idx="239">
                  <c:v>1.895</c:v>
                </c:pt>
                <c:pt idx="240">
                  <c:v>1.8748</c:v>
                </c:pt>
                <c:pt idx="241">
                  <c:v>1.8656999999999999</c:v>
                </c:pt>
                <c:pt idx="242">
                  <c:v>1.8707</c:v>
                </c:pt>
                <c:pt idx="243">
                  <c:v>1.8599000000000001</c:v>
                </c:pt>
                <c:pt idx="244">
                  <c:v>1.8363</c:v>
                </c:pt>
                <c:pt idx="245">
                  <c:v>1.847</c:v>
                </c:pt>
                <c:pt idx="246">
                  <c:v>1.8353999999999999</c:v>
                </c:pt>
                <c:pt idx="247">
                  <c:v>1.8314999999999999</c:v>
                </c:pt>
                <c:pt idx="248">
                  <c:v>1.8312999999999999</c:v>
                </c:pt>
                <c:pt idx="249">
                  <c:v>1.8105</c:v>
                </c:pt>
                <c:pt idx="250">
                  <c:v>1.8075000000000001</c:v>
                </c:pt>
              </c:numCache>
            </c:numRef>
          </c:val>
          <c:smooth val="0"/>
          <c:extLst>
            <c:ext xmlns:c16="http://schemas.microsoft.com/office/drawing/2014/chart" uri="{C3380CC4-5D6E-409C-BE32-E72D297353CC}">
              <c16:uniqueId val="{00000000-7F0D-4D4B-A64C-CDFE76AE6D25}"/>
            </c:ext>
          </c:extLst>
        </c:ser>
        <c:ser>
          <c:idx val="1"/>
          <c:order val="1"/>
          <c:tx>
            <c:strRef>
              <c:f>Data_From_Collab!$C$1</c:f>
              <c:strCache>
                <c:ptCount val="1"/>
                <c:pt idx="0">
                  <c:v>CCL</c:v>
                </c:pt>
              </c:strCache>
            </c:strRef>
          </c:tx>
          <c:spPr>
            <a:ln w="28575" cap="rnd">
              <a:solidFill>
                <a:schemeClr val="accent2"/>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Data_From_Collab!$C$2:$C$252</c:f>
              <c:numCache>
                <c:formatCode>General</c:formatCode>
                <c:ptCount val="251"/>
                <c:pt idx="0">
                  <c:v>0.11228100000000001</c:v>
                </c:pt>
                <c:pt idx="1">
                  <c:v>0.113276</c:v>
                </c:pt>
                <c:pt idx="2">
                  <c:v>0.11178299999999999</c:v>
                </c:pt>
                <c:pt idx="3">
                  <c:v>0.117955</c:v>
                </c:pt>
                <c:pt idx="4">
                  <c:v>0.12124</c:v>
                </c:pt>
                <c:pt idx="5">
                  <c:v>0.122434</c:v>
                </c:pt>
                <c:pt idx="6">
                  <c:v>0.127112</c:v>
                </c:pt>
                <c:pt idx="7">
                  <c:v>0.12970000000000001</c:v>
                </c:pt>
                <c:pt idx="8">
                  <c:v>0.126913</c:v>
                </c:pt>
                <c:pt idx="9">
                  <c:v>0.130298</c:v>
                </c:pt>
                <c:pt idx="10">
                  <c:v>0.14652299999999999</c:v>
                </c:pt>
                <c:pt idx="11">
                  <c:v>0.152694</c:v>
                </c:pt>
                <c:pt idx="12">
                  <c:v>0.155282</c:v>
                </c:pt>
                <c:pt idx="13">
                  <c:v>0.16045799999999999</c:v>
                </c:pt>
                <c:pt idx="14">
                  <c:v>0.157273</c:v>
                </c:pt>
                <c:pt idx="15">
                  <c:v>0.15826799999999999</c:v>
                </c:pt>
                <c:pt idx="16">
                  <c:v>0.158169</c:v>
                </c:pt>
                <c:pt idx="17">
                  <c:v>0.15687499999999999</c:v>
                </c:pt>
                <c:pt idx="18">
                  <c:v>0.157273</c:v>
                </c:pt>
                <c:pt idx="19">
                  <c:v>0.14532800000000001</c:v>
                </c:pt>
                <c:pt idx="20">
                  <c:v>0.158169</c:v>
                </c:pt>
                <c:pt idx="21">
                  <c:v>0.17210400000000001</c:v>
                </c:pt>
                <c:pt idx="22">
                  <c:v>0.17080999999999999</c:v>
                </c:pt>
                <c:pt idx="23">
                  <c:v>0.18743399999999999</c:v>
                </c:pt>
                <c:pt idx="24">
                  <c:v>0.18872800000000001</c:v>
                </c:pt>
                <c:pt idx="25">
                  <c:v>0.191216</c:v>
                </c:pt>
                <c:pt idx="26">
                  <c:v>0.18773200000000001</c:v>
                </c:pt>
                <c:pt idx="27">
                  <c:v>0.189524</c:v>
                </c:pt>
                <c:pt idx="28">
                  <c:v>0.192112</c:v>
                </c:pt>
                <c:pt idx="29">
                  <c:v>0.18812999999999999</c:v>
                </c:pt>
                <c:pt idx="30">
                  <c:v>0.181362</c:v>
                </c:pt>
                <c:pt idx="31">
                  <c:v>0.17668300000000001</c:v>
                </c:pt>
                <c:pt idx="32">
                  <c:v>0.17150699999999999</c:v>
                </c:pt>
                <c:pt idx="33">
                  <c:v>0.176285</c:v>
                </c:pt>
                <c:pt idx="34">
                  <c:v>0.18165999999999999</c:v>
                </c:pt>
                <c:pt idx="35">
                  <c:v>0.18066499999999999</c:v>
                </c:pt>
                <c:pt idx="36">
                  <c:v>0.17568800000000001</c:v>
                </c:pt>
                <c:pt idx="37">
                  <c:v>0.177977</c:v>
                </c:pt>
                <c:pt idx="38">
                  <c:v>0.177679</c:v>
                </c:pt>
                <c:pt idx="39">
                  <c:v>0.17369699999999999</c:v>
                </c:pt>
                <c:pt idx="40">
                  <c:v>0.17568800000000001</c:v>
                </c:pt>
                <c:pt idx="41">
                  <c:v>0.181362</c:v>
                </c:pt>
                <c:pt idx="42">
                  <c:v>0.18404899999999999</c:v>
                </c:pt>
                <c:pt idx="43">
                  <c:v>0.18753300000000001</c:v>
                </c:pt>
                <c:pt idx="44">
                  <c:v>0.17907200000000001</c:v>
                </c:pt>
                <c:pt idx="45">
                  <c:v>0.17638499999999999</c:v>
                </c:pt>
                <c:pt idx="46">
                  <c:v>0.174792</c:v>
                </c:pt>
                <c:pt idx="47">
                  <c:v>0.17080999999999999</c:v>
                </c:pt>
                <c:pt idx="48">
                  <c:v>0.17957000000000001</c:v>
                </c:pt>
                <c:pt idx="49">
                  <c:v>0.17837500000000001</c:v>
                </c:pt>
                <c:pt idx="50">
                  <c:v>0.171905</c:v>
                </c:pt>
                <c:pt idx="51">
                  <c:v>0.17280100000000001</c:v>
                </c:pt>
                <c:pt idx="52">
                  <c:v>0.167127</c:v>
                </c:pt>
                <c:pt idx="53">
                  <c:v>0.16752600000000001</c:v>
                </c:pt>
                <c:pt idx="54">
                  <c:v>0.16533600000000001</c:v>
                </c:pt>
                <c:pt idx="55">
                  <c:v>0.161056</c:v>
                </c:pt>
                <c:pt idx="56">
                  <c:v>0.157273</c:v>
                </c:pt>
                <c:pt idx="57">
                  <c:v>0.15518299999999999</c:v>
                </c:pt>
                <c:pt idx="58">
                  <c:v>0.15637699999999999</c:v>
                </c:pt>
                <c:pt idx="59">
                  <c:v>0.15587899999999999</c:v>
                </c:pt>
                <c:pt idx="60">
                  <c:v>0.16175200000000001</c:v>
                </c:pt>
                <c:pt idx="61">
                  <c:v>0.15637699999999999</c:v>
                </c:pt>
                <c:pt idx="62">
                  <c:v>0.15826799999999999</c:v>
                </c:pt>
                <c:pt idx="63">
                  <c:v>0.15637699999999999</c:v>
                </c:pt>
                <c:pt idx="64">
                  <c:v>0.159662</c:v>
                </c:pt>
                <c:pt idx="65">
                  <c:v>0.15797</c:v>
                </c:pt>
                <c:pt idx="66">
                  <c:v>0.157472</c:v>
                </c:pt>
                <c:pt idx="67">
                  <c:v>0.15657599999999999</c:v>
                </c:pt>
                <c:pt idx="68">
                  <c:v>0.15299299999999999</c:v>
                </c:pt>
                <c:pt idx="69">
                  <c:v>0.15359</c:v>
                </c:pt>
                <c:pt idx="70">
                  <c:v>0.15229599999999999</c:v>
                </c:pt>
                <c:pt idx="71">
                  <c:v>0.15229599999999999</c:v>
                </c:pt>
                <c:pt idx="72">
                  <c:v>0.154088</c:v>
                </c:pt>
                <c:pt idx="73">
                  <c:v>0.153889</c:v>
                </c:pt>
                <c:pt idx="74">
                  <c:v>0.149509</c:v>
                </c:pt>
                <c:pt idx="75">
                  <c:v>0.155581</c:v>
                </c:pt>
                <c:pt idx="76">
                  <c:v>0.151201</c:v>
                </c:pt>
                <c:pt idx="77">
                  <c:v>0.14970800000000001</c:v>
                </c:pt>
                <c:pt idx="78">
                  <c:v>0.15020600000000001</c:v>
                </c:pt>
                <c:pt idx="79">
                  <c:v>0.14582600000000001</c:v>
                </c:pt>
                <c:pt idx="80">
                  <c:v>0.14383499999999999</c:v>
                </c:pt>
                <c:pt idx="81">
                  <c:v>0.13985400000000001</c:v>
                </c:pt>
                <c:pt idx="82">
                  <c:v>0.13836000000000001</c:v>
                </c:pt>
                <c:pt idx="83">
                  <c:v>0.13696700000000001</c:v>
                </c:pt>
                <c:pt idx="84">
                  <c:v>0.139157</c:v>
                </c:pt>
                <c:pt idx="85">
                  <c:v>0.143736</c:v>
                </c:pt>
                <c:pt idx="86">
                  <c:v>0.136569</c:v>
                </c:pt>
                <c:pt idx="87">
                  <c:v>0.135772</c:v>
                </c:pt>
                <c:pt idx="88">
                  <c:v>0.12681400000000001</c:v>
                </c:pt>
                <c:pt idx="89">
                  <c:v>0.130298</c:v>
                </c:pt>
                <c:pt idx="90">
                  <c:v>0.13238800000000001</c:v>
                </c:pt>
                <c:pt idx="91">
                  <c:v>0.13199</c:v>
                </c:pt>
                <c:pt idx="92">
                  <c:v>0.12631600000000001</c:v>
                </c:pt>
                <c:pt idx="93">
                  <c:v>0.12840599999999999</c:v>
                </c:pt>
                <c:pt idx="94">
                  <c:v>0.125918</c:v>
                </c:pt>
                <c:pt idx="95">
                  <c:v>0.12542</c:v>
                </c:pt>
                <c:pt idx="96">
                  <c:v>0.12203600000000001</c:v>
                </c:pt>
                <c:pt idx="97">
                  <c:v>0.123031</c:v>
                </c:pt>
                <c:pt idx="98">
                  <c:v>0.12442499999999999</c:v>
                </c:pt>
                <c:pt idx="99">
                  <c:v>0.11636199999999999</c:v>
                </c:pt>
                <c:pt idx="100">
                  <c:v>0.113376</c:v>
                </c:pt>
                <c:pt idx="101">
                  <c:v>0.109792</c:v>
                </c:pt>
                <c:pt idx="102">
                  <c:v>0.113276</c:v>
                </c:pt>
                <c:pt idx="103">
                  <c:v>0.113973</c:v>
                </c:pt>
                <c:pt idx="104">
                  <c:v>0.112181</c:v>
                </c:pt>
                <c:pt idx="105">
                  <c:v>0.113177</c:v>
                </c:pt>
                <c:pt idx="106">
                  <c:v>0.110788</c:v>
                </c:pt>
                <c:pt idx="107">
                  <c:v>0.11347500000000001</c:v>
                </c:pt>
                <c:pt idx="108">
                  <c:v>0.11407299999999999</c:v>
                </c:pt>
                <c:pt idx="109">
                  <c:v>0.11248</c:v>
                </c:pt>
                <c:pt idx="110">
                  <c:v>0.118452</c:v>
                </c:pt>
                <c:pt idx="111">
                  <c:v>0.12492300000000001</c:v>
                </c:pt>
                <c:pt idx="112">
                  <c:v>0.12203600000000001</c:v>
                </c:pt>
                <c:pt idx="113">
                  <c:v>0.12502199999999999</c:v>
                </c:pt>
                <c:pt idx="114">
                  <c:v>0.12731100000000001</c:v>
                </c:pt>
                <c:pt idx="115">
                  <c:v>0.122534</c:v>
                </c:pt>
                <c:pt idx="116">
                  <c:v>0.12701299999999999</c:v>
                </c:pt>
                <c:pt idx="117">
                  <c:v>0.12721199999999999</c:v>
                </c:pt>
                <c:pt idx="118">
                  <c:v>0.138261</c:v>
                </c:pt>
                <c:pt idx="119">
                  <c:v>0.14502999999999999</c:v>
                </c:pt>
                <c:pt idx="120">
                  <c:v>0.14741899999999999</c:v>
                </c:pt>
                <c:pt idx="121">
                  <c:v>0.14721899999999999</c:v>
                </c:pt>
                <c:pt idx="122">
                  <c:v>0.14502999999999999</c:v>
                </c:pt>
                <c:pt idx="123">
                  <c:v>0.141347</c:v>
                </c:pt>
                <c:pt idx="124">
                  <c:v>0.144034</c:v>
                </c:pt>
                <c:pt idx="125">
                  <c:v>0.14343700000000001</c:v>
                </c:pt>
                <c:pt idx="126">
                  <c:v>0.14552699999999999</c:v>
                </c:pt>
                <c:pt idx="127">
                  <c:v>0.14562700000000001</c:v>
                </c:pt>
                <c:pt idx="128">
                  <c:v>0.14841399999999999</c:v>
                </c:pt>
                <c:pt idx="129">
                  <c:v>0.14990700000000001</c:v>
                </c:pt>
                <c:pt idx="130">
                  <c:v>0.15687499999999999</c:v>
                </c:pt>
                <c:pt idx="131">
                  <c:v>0.162748</c:v>
                </c:pt>
                <c:pt idx="132">
                  <c:v>0.164241</c:v>
                </c:pt>
                <c:pt idx="133">
                  <c:v>0.17399600000000001</c:v>
                </c:pt>
                <c:pt idx="134">
                  <c:v>0.17847499999999999</c:v>
                </c:pt>
                <c:pt idx="135">
                  <c:v>0.18026700000000001</c:v>
                </c:pt>
                <c:pt idx="136">
                  <c:v>0.17548900000000001</c:v>
                </c:pt>
                <c:pt idx="137">
                  <c:v>0.17738000000000001</c:v>
                </c:pt>
                <c:pt idx="138">
                  <c:v>0.18185899999999999</c:v>
                </c:pt>
                <c:pt idx="139">
                  <c:v>0.18693599999999999</c:v>
                </c:pt>
                <c:pt idx="140">
                  <c:v>0.18524399999999999</c:v>
                </c:pt>
                <c:pt idx="141">
                  <c:v>0.182755</c:v>
                </c:pt>
                <c:pt idx="142">
                  <c:v>0.18623899999999999</c:v>
                </c:pt>
                <c:pt idx="143">
                  <c:v>0.179869</c:v>
                </c:pt>
                <c:pt idx="144">
                  <c:v>0.19101699999999999</c:v>
                </c:pt>
                <c:pt idx="145">
                  <c:v>0.18842900000000001</c:v>
                </c:pt>
                <c:pt idx="146">
                  <c:v>0.18524399999999999</c:v>
                </c:pt>
                <c:pt idx="147">
                  <c:v>0.18454699999999999</c:v>
                </c:pt>
                <c:pt idx="148">
                  <c:v>0.18584100000000001</c:v>
                </c:pt>
                <c:pt idx="149">
                  <c:v>0.18454699999999999</c:v>
                </c:pt>
                <c:pt idx="150">
                  <c:v>0.17210400000000001</c:v>
                </c:pt>
                <c:pt idx="151">
                  <c:v>0.162748</c:v>
                </c:pt>
                <c:pt idx="152">
                  <c:v>0.16772500000000001</c:v>
                </c:pt>
                <c:pt idx="153">
                  <c:v>0.17250299999999999</c:v>
                </c:pt>
                <c:pt idx="154">
                  <c:v>0.17270199999999999</c:v>
                </c:pt>
                <c:pt idx="155">
                  <c:v>0.17299999999999999</c:v>
                </c:pt>
                <c:pt idx="156">
                  <c:v>0.176982</c:v>
                </c:pt>
                <c:pt idx="157">
                  <c:v>0.17449300000000001</c:v>
                </c:pt>
                <c:pt idx="158">
                  <c:v>0.16882</c:v>
                </c:pt>
                <c:pt idx="159">
                  <c:v>0.169516</c:v>
                </c:pt>
                <c:pt idx="160">
                  <c:v>0.167824</c:v>
                </c:pt>
                <c:pt idx="161">
                  <c:v>0.17200499999999999</c:v>
                </c:pt>
                <c:pt idx="162">
                  <c:v>0.17250299999999999</c:v>
                </c:pt>
                <c:pt idx="163">
                  <c:v>0.165634</c:v>
                </c:pt>
                <c:pt idx="164">
                  <c:v>0.16175200000000001</c:v>
                </c:pt>
                <c:pt idx="165">
                  <c:v>0.16006000000000001</c:v>
                </c:pt>
                <c:pt idx="166">
                  <c:v>0.163942</c:v>
                </c:pt>
                <c:pt idx="167">
                  <c:v>0.15757199999999999</c:v>
                </c:pt>
                <c:pt idx="168">
                  <c:v>0.164738</c:v>
                </c:pt>
                <c:pt idx="169">
                  <c:v>0.163942</c:v>
                </c:pt>
                <c:pt idx="170">
                  <c:v>0.16503699999999999</c:v>
                </c:pt>
                <c:pt idx="171">
                  <c:v>0.16722699999999999</c:v>
                </c:pt>
                <c:pt idx="172">
                  <c:v>0.16364400000000001</c:v>
                </c:pt>
                <c:pt idx="173">
                  <c:v>0.15757199999999999</c:v>
                </c:pt>
                <c:pt idx="174">
                  <c:v>0.158965</c:v>
                </c:pt>
                <c:pt idx="175">
                  <c:v>0.156477</c:v>
                </c:pt>
                <c:pt idx="176">
                  <c:v>0.15617800000000001</c:v>
                </c:pt>
                <c:pt idx="177">
                  <c:v>0.152396</c:v>
                </c:pt>
                <c:pt idx="178">
                  <c:v>0.15418699999999999</c:v>
                </c:pt>
                <c:pt idx="179">
                  <c:v>0.150504</c:v>
                </c:pt>
                <c:pt idx="180">
                  <c:v>0.15199699999999999</c:v>
                </c:pt>
                <c:pt idx="181">
                  <c:v>0.1515</c:v>
                </c:pt>
                <c:pt idx="182">
                  <c:v>0.14731900000000001</c:v>
                </c:pt>
                <c:pt idx="183">
                  <c:v>0.146921</c:v>
                </c:pt>
                <c:pt idx="184">
                  <c:v>0.146423</c:v>
                </c:pt>
                <c:pt idx="185">
                  <c:v>0.15140000000000001</c:v>
                </c:pt>
                <c:pt idx="186">
                  <c:v>0.15159900000000001</c:v>
                </c:pt>
                <c:pt idx="187">
                  <c:v>0.14712</c:v>
                </c:pt>
                <c:pt idx="188">
                  <c:v>0.15836800000000001</c:v>
                </c:pt>
                <c:pt idx="189">
                  <c:v>0.15398800000000001</c:v>
                </c:pt>
                <c:pt idx="190">
                  <c:v>0.15787000000000001</c:v>
                </c:pt>
                <c:pt idx="191">
                  <c:v>0.15926399999999999</c:v>
                </c:pt>
                <c:pt idx="192">
                  <c:v>0.15996099999999999</c:v>
                </c:pt>
                <c:pt idx="193">
                  <c:v>0.158169</c:v>
                </c:pt>
                <c:pt idx="194">
                  <c:v>0.159363</c:v>
                </c:pt>
                <c:pt idx="195">
                  <c:v>0.15587899999999999</c:v>
                </c:pt>
                <c:pt idx="196">
                  <c:v>0.16294700000000001</c:v>
                </c:pt>
                <c:pt idx="197">
                  <c:v>0.161553</c:v>
                </c:pt>
                <c:pt idx="198">
                  <c:v>0.16165299999999999</c:v>
                </c:pt>
                <c:pt idx="199">
                  <c:v>0.16573399999999999</c:v>
                </c:pt>
                <c:pt idx="200">
                  <c:v>0.16125500000000001</c:v>
                </c:pt>
                <c:pt idx="201">
                  <c:v>0.161852</c:v>
                </c:pt>
                <c:pt idx="202">
                  <c:v>0.16115499999999999</c:v>
                </c:pt>
                <c:pt idx="203">
                  <c:v>0.16006000000000001</c:v>
                </c:pt>
                <c:pt idx="204">
                  <c:v>0.16772500000000001</c:v>
                </c:pt>
                <c:pt idx="205">
                  <c:v>0.16941700000000001</c:v>
                </c:pt>
                <c:pt idx="206">
                  <c:v>0.170014</c:v>
                </c:pt>
                <c:pt idx="207">
                  <c:v>0.17031299999999999</c:v>
                </c:pt>
                <c:pt idx="208">
                  <c:v>0.169516</c:v>
                </c:pt>
                <c:pt idx="209">
                  <c:v>0.17110900000000001</c:v>
                </c:pt>
                <c:pt idx="210">
                  <c:v>0.16264799999999999</c:v>
                </c:pt>
                <c:pt idx="211">
                  <c:v>0.161852</c:v>
                </c:pt>
                <c:pt idx="212">
                  <c:v>0.154088</c:v>
                </c:pt>
                <c:pt idx="213">
                  <c:v>0.152694</c:v>
                </c:pt>
                <c:pt idx="214">
                  <c:v>0.14990700000000001</c:v>
                </c:pt>
                <c:pt idx="215">
                  <c:v>0.150504</c:v>
                </c:pt>
                <c:pt idx="216">
                  <c:v>0.15587899999999999</c:v>
                </c:pt>
                <c:pt idx="217">
                  <c:v>0.15428700000000001</c:v>
                </c:pt>
                <c:pt idx="218">
                  <c:v>0.148812</c:v>
                </c:pt>
                <c:pt idx="219">
                  <c:v>0.149011</c:v>
                </c:pt>
                <c:pt idx="220">
                  <c:v>0.14293900000000001</c:v>
                </c:pt>
                <c:pt idx="221">
                  <c:v>0.13995299999999999</c:v>
                </c:pt>
                <c:pt idx="222">
                  <c:v>0.13836000000000001</c:v>
                </c:pt>
                <c:pt idx="223">
                  <c:v>0.14055000000000001</c:v>
                </c:pt>
                <c:pt idx="224">
                  <c:v>0.141148</c:v>
                </c:pt>
                <c:pt idx="225">
                  <c:v>0.14055000000000001</c:v>
                </c:pt>
                <c:pt idx="226">
                  <c:v>0.14214299999999999</c:v>
                </c:pt>
                <c:pt idx="227">
                  <c:v>0.14721899999999999</c:v>
                </c:pt>
                <c:pt idx="228">
                  <c:v>0.14940899999999999</c:v>
                </c:pt>
                <c:pt idx="229">
                  <c:v>0.15110199999999999</c:v>
                </c:pt>
                <c:pt idx="230">
                  <c:v>0.15010599999999999</c:v>
                </c:pt>
                <c:pt idx="231">
                  <c:v>0.15060399999999999</c:v>
                </c:pt>
                <c:pt idx="232">
                  <c:v>0.14751800000000001</c:v>
                </c:pt>
                <c:pt idx="233">
                  <c:v>0.144034</c:v>
                </c:pt>
                <c:pt idx="234">
                  <c:v>0.14393500000000001</c:v>
                </c:pt>
                <c:pt idx="235">
                  <c:v>0.143736</c:v>
                </c:pt>
                <c:pt idx="236">
                  <c:v>0.14532800000000001</c:v>
                </c:pt>
                <c:pt idx="237">
                  <c:v>0.14055000000000001</c:v>
                </c:pt>
                <c:pt idx="238">
                  <c:v>0.142342</c:v>
                </c:pt>
                <c:pt idx="239">
                  <c:v>0.14493</c:v>
                </c:pt>
                <c:pt idx="240">
                  <c:v>0.14363600000000001</c:v>
                </c:pt>
                <c:pt idx="241">
                  <c:v>0.14493</c:v>
                </c:pt>
                <c:pt idx="242">
                  <c:v>0.14453199999999999</c:v>
                </c:pt>
                <c:pt idx="243">
                  <c:v>0.14791599999999999</c:v>
                </c:pt>
                <c:pt idx="244">
                  <c:v>0.148314</c:v>
                </c:pt>
                <c:pt idx="245">
                  <c:v>0.14931</c:v>
                </c:pt>
                <c:pt idx="246">
                  <c:v>0.16016</c:v>
                </c:pt>
                <c:pt idx="247">
                  <c:v>0.16125500000000001</c:v>
                </c:pt>
                <c:pt idx="248">
                  <c:v>0.15578</c:v>
                </c:pt>
                <c:pt idx="249">
                  <c:v>0.14712</c:v>
                </c:pt>
                <c:pt idx="250">
                  <c:v>0.15060399999999999</c:v>
                </c:pt>
              </c:numCache>
            </c:numRef>
          </c:val>
          <c:smooth val="0"/>
          <c:extLst>
            <c:ext xmlns:c16="http://schemas.microsoft.com/office/drawing/2014/chart" uri="{C3380CC4-5D6E-409C-BE32-E72D297353CC}">
              <c16:uniqueId val="{00000002-7F0D-4D4B-A64C-CDFE76AE6D25}"/>
            </c:ext>
          </c:extLst>
        </c:ser>
        <c:ser>
          <c:idx val="2"/>
          <c:order val="2"/>
          <c:tx>
            <c:strRef>
              <c:f>Data_From_Collab!$D$1</c:f>
              <c:strCache>
                <c:ptCount val="1"/>
                <c:pt idx="0">
                  <c:v>MARA</c:v>
                </c:pt>
              </c:strCache>
            </c:strRef>
          </c:tx>
          <c:spPr>
            <a:ln w="28575" cap="rnd">
              <a:solidFill>
                <a:schemeClr val="accent3"/>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Data_From_Collab!$D$2:$D$252</c:f>
              <c:numCache>
                <c:formatCode>General</c:formatCode>
                <c:ptCount val="251"/>
                <c:pt idx="0">
                  <c:v>8.9300000000000004E-2</c:v>
                </c:pt>
                <c:pt idx="1">
                  <c:v>9.4200000000000006E-2</c:v>
                </c:pt>
                <c:pt idx="2">
                  <c:v>9.7900000000000001E-2</c:v>
                </c:pt>
                <c:pt idx="3">
                  <c:v>9.9900000000000003E-2</c:v>
                </c:pt>
                <c:pt idx="4">
                  <c:v>0.1003</c:v>
                </c:pt>
                <c:pt idx="5">
                  <c:v>9.1899999999999996E-2</c:v>
                </c:pt>
                <c:pt idx="6">
                  <c:v>0.1008</c:v>
                </c:pt>
                <c:pt idx="7">
                  <c:v>9.5500000000000002E-2</c:v>
                </c:pt>
                <c:pt idx="8">
                  <c:v>9.5699999999999993E-2</c:v>
                </c:pt>
                <c:pt idx="9">
                  <c:v>9.3799999999999994E-2</c:v>
                </c:pt>
                <c:pt idx="10">
                  <c:v>9.3299999999999994E-2</c:v>
                </c:pt>
                <c:pt idx="11">
                  <c:v>9.6799999999999997E-2</c:v>
                </c:pt>
                <c:pt idx="12">
                  <c:v>9.69E-2</c:v>
                </c:pt>
                <c:pt idx="13">
                  <c:v>9.3600000000000003E-2</c:v>
                </c:pt>
                <c:pt idx="14">
                  <c:v>9.98E-2</c:v>
                </c:pt>
                <c:pt idx="15">
                  <c:v>0.1172</c:v>
                </c:pt>
                <c:pt idx="16">
                  <c:v>0.1221</c:v>
                </c:pt>
                <c:pt idx="17">
                  <c:v>0.1183</c:v>
                </c:pt>
                <c:pt idx="18">
                  <c:v>0.12709999999999999</c:v>
                </c:pt>
                <c:pt idx="19">
                  <c:v>0.1179</c:v>
                </c:pt>
                <c:pt idx="20">
                  <c:v>0.1338</c:v>
                </c:pt>
                <c:pt idx="21">
                  <c:v>0.13159999999999999</c:v>
                </c:pt>
                <c:pt idx="22">
                  <c:v>0.13819999999999999</c:v>
                </c:pt>
                <c:pt idx="23">
                  <c:v>0.1386</c:v>
                </c:pt>
                <c:pt idx="24">
                  <c:v>0.1532</c:v>
                </c:pt>
                <c:pt idx="25">
                  <c:v>0.15559999999999999</c:v>
                </c:pt>
                <c:pt idx="26">
                  <c:v>0.1532</c:v>
                </c:pt>
                <c:pt idx="27">
                  <c:v>0.15670000000000001</c:v>
                </c:pt>
                <c:pt idx="28">
                  <c:v>0.16919999999999999</c:v>
                </c:pt>
                <c:pt idx="29">
                  <c:v>0.1739</c:v>
                </c:pt>
                <c:pt idx="30">
                  <c:v>0.1686</c:v>
                </c:pt>
                <c:pt idx="31">
                  <c:v>0.193</c:v>
                </c:pt>
                <c:pt idx="32">
                  <c:v>0.1807</c:v>
                </c:pt>
                <c:pt idx="33">
                  <c:v>0.1726</c:v>
                </c:pt>
                <c:pt idx="34">
                  <c:v>0.1681</c:v>
                </c:pt>
                <c:pt idx="35">
                  <c:v>0.1759</c:v>
                </c:pt>
                <c:pt idx="36">
                  <c:v>0.1706</c:v>
                </c:pt>
                <c:pt idx="37">
                  <c:v>0.16880000000000001</c:v>
                </c:pt>
                <c:pt idx="38">
                  <c:v>0.16420000000000001</c:v>
                </c:pt>
                <c:pt idx="39">
                  <c:v>0.1618</c:v>
                </c:pt>
                <c:pt idx="40">
                  <c:v>0.16819999999999999</c:v>
                </c:pt>
                <c:pt idx="41">
                  <c:v>0.15970000000000001</c:v>
                </c:pt>
                <c:pt idx="42">
                  <c:v>0.16700000000000001</c:v>
                </c:pt>
                <c:pt idx="43">
                  <c:v>0.17369999999999999</c:v>
                </c:pt>
                <c:pt idx="44">
                  <c:v>0.16830000000000001</c:v>
                </c:pt>
                <c:pt idx="45">
                  <c:v>0.1648</c:v>
                </c:pt>
                <c:pt idx="46">
                  <c:v>0.1656</c:v>
                </c:pt>
                <c:pt idx="47">
                  <c:v>0.1583</c:v>
                </c:pt>
                <c:pt idx="48">
                  <c:v>0.1507</c:v>
                </c:pt>
                <c:pt idx="49">
                  <c:v>0.15720000000000001</c:v>
                </c:pt>
                <c:pt idx="50">
                  <c:v>0.15509999999999999</c:v>
                </c:pt>
                <c:pt idx="51">
                  <c:v>0.14549999999999999</c:v>
                </c:pt>
                <c:pt idx="52">
                  <c:v>0.14879999999999999</c:v>
                </c:pt>
                <c:pt idx="53">
                  <c:v>0.14990000000000001</c:v>
                </c:pt>
                <c:pt idx="54">
                  <c:v>0.13930000000000001</c:v>
                </c:pt>
                <c:pt idx="55">
                  <c:v>0.13500000000000001</c:v>
                </c:pt>
                <c:pt idx="56">
                  <c:v>0.1225</c:v>
                </c:pt>
                <c:pt idx="57">
                  <c:v>0.1128</c:v>
                </c:pt>
                <c:pt idx="58">
                  <c:v>0.1105</c:v>
                </c:pt>
                <c:pt idx="59">
                  <c:v>0.1095</c:v>
                </c:pt>
                <c:pt idx="60">
                  <c:v>0.11749999999999999</c:v>
                </c:pt>
                <c:pt idx="61">
                  <c:v>0.1055</c:v>
                </c:pt>
                <c:pt idx="62">
                  <c:v>0.1055</c:v>
                </c:pt>
                <c:pt idx="63">
                  <c:v>0.1062</c:v>
                </c:pt>
                <c:pt idx="64">
                  <c:v>0.1368</c:v>
                </c:pt>
                <c:pt idx="65">
                  <c:v>0.13469999999999999</c:v>
                </c:pt>
                <c:pt idx="66">
                  <c:v>0.12570000000000001</c:v>
                </c:pt>
                <c:pt idx="67">
                  <c:v>0.12</c:v>
                </c:pt>
                <c:pt idx="68">
                  <c:v>0.12</c:v>
                </c:pt>
                <c:pt idx="69">
                  <c:v>0.1206</c:v>
                </c:pt>
                <c:pt idx="70">
                  <c:v>0.1236</c:v>
                </c:pt>
                <c:pt idx="71">
                  <c:v>0.1091</c:v>
                </c:pt>
                <c:pt idx="72">
                  <c:v>0.1007</c:v>
                </c:pt>
                <c:pt idx="73">
                  <c:v>0.1016</c:v>
                </c:pt>
                <c:pt idx="74">
                  <c:v>9.8900000000000002E-2</c:v>
                </c:pt>
                <c:pt idx="75">
                  <c:v>0.1</c:v>
                </c:pt>
                <c:pt idx="76">
                  <c:v>9.8000000000000004E-2</c:v>
                </c:pt>
                <c:pt idx="77">
                  <c:v>9.7900000000000001E-2</c:v>
                </c:pt>
                <c:pt idx="78">
                  <c:v>9.5600000000000004E-2</c:v>
                </c:pt>
                <c:pt idx="79">
                  <c:v>9.2899999999999996E-2</c:v>
                </c:pt>
                <c:pt idx="80">
                  <c:v>9.1600000000000001E-2</c:v>
                </c:pt>
                <c:pt idx="81">
                  <c:v>8.6699999999999999E-2</c:v>
                </c:pt>
                <c:pt idx="82">
                  <c:v>8.5599999999999996E-2</c:v>
                </c:pt>
                <c:pt idx="83">
                  <c:v>8.2500000000000004E-2</c:v>
                </c:pt>
                <c:pt idx="84">
                  <c:v>8.0100000000000005E-2</c:v>
                </c:pt>
                <c:pt idx="85">
                  <c:v>8.5699999999999998E-2</c:v>
                </c:pt>
                <c:pt idx="86">
                  <c:v>8.5000000000000006E-2</c:v>
                </c:pt>
                <c:pt idx="87">
                  <c:v>8.5300000000000001E-2</c:v>
                </c:pt>
                <c:pt idx="88">
                  <c:v>7.2999999999999995E-2</c:v>
                </c:pt>
                <c:pt idx="89">
                  <c:v>7.5399999999999995E-2</c:v>
                </c:pt>
                <c:pt idx="90">
                  <c:v>7.4200000000000002E-2</c:v>
                </c:pt>
                <c:pt idx="91">
                  <c:v>8.0799999999999997E-2</c:v>
                </c:pt>
                <c:pt idx="92">
                  <c:v>8.3599999999999994E-2</c:v>
                </c:pt>
                <c:pt idx="93">
                  <c:v>8.4599999999999995E-2</c:v>
                </c:pt>
                <c:pt idx="94">
                  <c:v>7.9000000000000001E-2</c:v>
                </c:pt>
                <c:pt idx="95">
                  <c:v>7.7799999999999994E-2</c:v>
                </c:pt>
                <c:pt idx="96">
                  <c:v>7.7100000000000002E-2</c:v>
                </c:pt>
                <c:pt idx="97">
                  <c:v>8.1000000000000003E-2</c:v>
                </c:pt>
                <c:pt idx="98">
                  <c:v>8.4500000000000006E-2</c:v>
                </c:pt>
                <c:pt idx="99">
                  <c:v>7.7399999999999997E-2</c:v>
                </c:pt>
                <c:pt idx="100">
                  <c:v>7.7100000000000002E-2</c:v>
                </c:pt>
                <c:pt idx="101">
                  <c:v>7.7600000000000002E-2</c:v>
                </c:pt>
                <c:pt idx="102">
                  <c:v>8.7499999999999994E-2</c:v>
                </c:pt>
                <c:pt idx="103">
                  <c:v>9.7600000000000006E-2</c:v>
                </c:pt>
                <c:pt idx="104">
                  <c:v>9.4700000000000006E-2</c:v>
                </c:pt>
                <c:pt idx="105">
                  <c:v>8.9899999999999994E-2</c:v>
                </c:pt>
                <c:pt idx="106">
                  <c:v>8.8599999999999998E-2</c:v>
                </c:pt>
                <c:pt idx="107">
                  <c:v>8.8499999999999995E-2</c:v>
                </c:pt>
                <c:pt idx="108">
                  <c:v>8.8099999999999998E-2</c:v>
                </c:pt>
                <c:pt idx="109">
                  <c:v>8.9200000000000002E-2</c:v>
                </c:pt>
                <c:pt idx="110">
                  <c:v>9.8599999999999993E-2</c:v>
                </c:pt>
                <c:pt idx="111">
                  <c:v>9.4100000000000003E-2</c:v>
                </c:pt>
                <c:pt idx="112">
                  <c:v>9.2399999999999996E-2</c:v>
                </c:pt>
                <c:pt idx="113">
                  <c:v>9.1800000000000007E-2</c:v>
                </c:pt>
                <c:pt idx="114">
                  <c:v>8.5500000000000007E-2</c:v>
                </c:pt>
                <c:pt idx="115">
                  <c:v>9.2299999999999993E-2</c:v>
                </c:pt>
                <c:pt idx="116">
                  <c:v>9.6100000000000005E-2</c:v>
                </c:pt>
                <c:pt idx="117">
                  <c:v>9.1800000000000007E-2</c:v>
                </c:pt>
                <c:pt idx="118">
                  <c:v>9.1700000000000004E-2</c:v>
                </c:pt>
                <c:pt idx="119">
                  <c:v>0.1024</c:v>
                </c:pt>
                <c:pt idx="120">
                  <c:v>9.7600000000000006E-2</c:v>
                </c:pt>
                <c:pt idx="121">
                  <c:v>0.1</c:v>
                </c:pt>
                <c:pt idx="122">
                  <c:v>0.10639999999999999</c:v>
                </c:pt>
                <c:pt idx="123">
                  <c:v>0.1031</c:v>
                </c:pt>
                <c:pt idx="124">
                  <c:v>0.10920000000000001</c:v>
                </c:pt>
                <c:pt idx="125">
                  <c:v>0.11409999999999999</c:v>
                </c:pt>
                <c:pt idx="126">
                  <c:v>0.1128</c:v>
                </c:pt>
                <c:pt idx="127">
                  <c:v>0.12379999999999999</c:v>
                </c:pt>
                <c:pt idx="128">
                  <c:v>0.124</c:v>
                </c:pt>
                <c:pt idx="129">
                  <c:v>0.1197</c:v>
                </c:pt>
                <c:pt idx="130">
                  <c:v>0.13700000000000001</c:v>
                </c:pt>
                <c:pt idx="131">
                  <c:v>0.14860000000000001</c:v>
                </c:pt>
                <c:pt idx="132">
                  <c:v>0.15279999999999999</c:v>
                </c:pt>
                <c:pt idx="133">
                  <c:v>0.15540000000000001</c:v>
                </c:pt>
                <c:pt idx="134">
                  <c:v>0.15509999999999999</c:v>
                </c:pt>
                <c:pt idx="135">
                  <c:v>0.1678</c:v>
                </c:pt>
                <c:pt idx="136">
                  <c:v>0.14649999999999999</c:v>
                </c:pt>
                <c:pt idx="137">
                  <c:v>0.1489</c:v>
                </c:pt>
                <c:pt idx="138">
                  <c:v>0.1676</c:v>
                </c:pt>
                <c:pt idx="139">
                  <c:v>0.1782</c:v>
                </c:pt>
                <c:pt idx="140">
                  <c:v>0.18290000000000001</c:v>
                </c:pt>
                <c:pt idx="141">
                  <c:v>0.1988</c:v>
                </c:pt>
                <c:pt idx="142">
                  <c:v>0.21970000000000001</c:v>
                </c:pt>
                <c:pt idx="143">
                  <c:v>0.221</c:v>
                </c:pt>
                <c:pt idx="144">
                  <c:v>0.24779999999999999</c:v>
                </c:pt>
                <c:pt idx="145">
                  <c:v>0.2671</c:v>
                </c:pt>
                <c:pt idx="146">
                  <c:v>0.26960000000000001</c:v>
                </c:pt>
                <c:pt idx="147">
                  <c:v>0.31069999999999998</c:v>
                </c:pt>
                <c:pt idx="148">
                  <c:v>0.28110000000000002</c:v>
                </c:pt>
                <c:pt idx="149">
                  <c:v>0.2349</c:v>
                </c:pt>
                <c:pt idx="150">
                  <c:v>0.2293</c:v>
                </c:pt>
                <c:pt idx="151">
                  <c:v>0.2344</c:v>
                </c:pt>
                <c:pt idx="152">
                  <c:v>0.26269999999999999</c:v>
                </c:pt>
                <c:pt idx="153">
                  <c:v>0.2412</c:v>
                </c:pt>
                <c:pt idx="154">
                  <c:v>0.25979999999999998</c:v>
                </c:pt>
                <c:pt idx="155">
                  <c:v>0.25729999999999997</c:v>
                </c:pt>
                <c:pt idx="156">
                  <c:v>0.25629999999999997</c:v>
                </c:pt>
                <c:pt idx="157">
                  <c:v>0.224</c:v>
                </c:pt>
                <c:pt idx="158">
                  <c:v>0.1898</c:v>
                </c:pt>
                <c:pt idx="159">
                  <c:v>0.17780000000000001</c:v>
                </c:pt>
                <c:pt idx="160">
                  <c:v>0.1726</c:v>
                </c:pt>
                <c:pt idx="161">
                  <c:v>0.16070000000000001</c:v>
                </c:pt>
                <c:pt idx="162">
                  <c:v>0.1613</c:v>
                </c:pt>
                <c:pt idx="163">
                  <c:v>0.1661</c:v>
                </c:pt>
                <c:pt idx="164">
                  <c:v>0.16109999999999999</c:v>
                </c:pt>
                <c:pt idx="165">
                  <c:v>0.1565</c:v>
                </c:pt>
                <c:pt idx="166">
                  <c:v>0.16270000000000001</c:v>
                </c:pt>
                <c:pt idx="167">
                  <c:v>0.17849999999999999</c:v>
                </c:pt>
                <c:pt idx="168">
                  <c:v>0.1852</c:v>
                </c:pt>
                <c:pt idx="169">
                  <c:v>0.18110000000000001</c:v>
                </c:pt>
                <c:pt idx="170">
                  <c:v>0.17730000000000001</c:v>
                </c:pt>
                <c:pt idx="171">
                  <c:v>0.186</c:v>
                </c:pt>
                <c:pt idx="172">
                  <c:v>0.182</c:v>
                </c:pt>
                <c:pt idx="173">
                  <c:v>0.16639999999999999</c:v>
                </c:pt>
                <c:pt idx="174">
                  <c:v>0.1706</c:v>
                </c:pt>
                <c:pt idx="175">
                  <c:v>0.1754</c:v>
                </c:pt>
                <c:pt idx="176">
                  <c:v>0.21579999999999999</c:v>
                </c:pt>
                <c:pt idx="177">
                  <c:v>0.2389</c:v>
                </c:pt>
                <c:pt idx="178">
                  <c:v>0.27279999999999999</c:v>
                </c:pt>
                <c:pt idx="179">
                  <c:v>0.25719999999999998</c:v>
                </c:pt>
                <c:pt idx="180">
                  <c:v>0.29409999999999997</c:v>
                </c:pt>
                <c:pt idx="181">
                  <c:v>0.2702</c:v>
                </c:pt>
                <c:pt idx="182">
                  <c:v>0.26939999999999997</c:v>
                </c:pt>
                <c:pt idx="183">
                  <c:v>0.24510000000000001</c:v>
                </c:pt>
                <c:pt idx="184">
                  <c:v>0.22900000000000001</c:v>
                </c:pt>
                <c:pt idx="185">
                  <c:v>0.24560000000000001</c:v>
                </c:pt>
                <c:pt idx="186">
                  <c:v>0.2399</c:v>
                </c:pt>
                <c:pt idx="187">
                  <c:v>0.29189999999999999</c:v>
                </c:pt>
                <c:pt idx="188">
                  <c:v>0.30309999999999998</c:v>
                </c:pt>
                <c:pt idx="189">
                  <c:v>0.31030000000000002</c:v>
                </c:pt>
                <c:pt idx="190">
                  <c:v>0.25900000000000001</c:v>
                </c:pt>
                <c:pt idx="191">
                  <c:v>0.27</c:v>
                </c:pt>
                <c:pt idx="192">
                  <c:v>0.2571</c:v>
                </c:pt>
                <c:pt idx="193">
                  <c:v>0.22259999999999999</c:v>
                </c:pt>
                <c:pt idx="194">
                  <c:v>0.22620000000000001</c:v>
                </c:pt>
                <c:pt idx="195">
                  <c:v>0.218</c:v>
                </c:pt>
                <c:pt idx="196">
                  <c:v>0.23480000000000001</c:v>
                </c:pt>
                <c:pt idx="197">
                  <c:v>0.2064</c:v>
                </c:pt>
                <c:pt idx="198">
                  <c:v>0.2019</c:v>
                </c:pt>
                <c:pt idx="199">
                  <c:v>0.19700000000000001</c:v>
                </c:pt>
                <c:pt idx="200">
                  <c:v>0.18229999999999999</c:v>
                </c:pt>
                <c:pt idx="201">
                  <c:v>0.19320000000000001</c:v>
                </c:pt>
                <c:pt idx="202">
                  <c:v>0.19409999999999999</c:v>
                </c:pt>
                <c:pt idx="203">
                  <c:v>0.19320000000000001</c:v>
                </c:pt>
                <c:pt idx="204">
                  <c:v>0.2243</c:v>
                </c:pt>
                <c:pt idx="205">
                  <c:v>0.21779999999999999</c:v>
                </c:pt>
                <c:pt idx="206">
                  <c:v>0.2087</c:v>
                </c:pt>
                <c:pt idx="207">
                  <c:v>0.20949999999999999</c:v>
                </c:pt>
                <c:pt idx="208">
                  <c:v>0.20380000000000001</c:v>
                </c:pt>
                <c:pt idx="209">
                  <c:v>0.22070000000000001</c:v>
                </c:pt>
                <c:pt idx="210">
                  <c:v>0.2258</c:v>
                </c:pt>
                <c:pt idx="211">
                  <c:v>0.21629999999999999</c:v>
                </c:pt>
                <c:pt idx="212">
                  <c:v>0.1973</c:v>
                </c:pt>
                <c:pt idx="213">
                  <c:v>0.1943</c:v>
                </c:pt>
                <c:pt idx="214">
                  <c:v>0.1847</c:v>
                </c:pt>
                <c:pt idx="215">
                  <c:v>0.18429999999999999</c:v>
                </c:pt>
                <c:pt idx="216">
                  <c:v>0.17949999999999999</c:v>
                </c:pt>
                <c:pt idx="217">
                  <c:v>0.17979999999999999</c:v>
                </c:pt>
                <c:pt idx="218">
                  <c:v>0.17380000000000001</c:v>
                </c:pt>
                <c:pt idx="219">
                  <c:v>0.17599999999999999</c:v>
                </c:pt>
                <c:pt idx="220">
                  <c:v>0.16109999999999999</c:v>
                </c:pt>
                <c:pt idx="221">
                  <c:v>0.1515</c:v>
                </c:pt>
                <c:pt idx="222">
                  <c:v>0.14599999999999999</c:v>
                </c:pt>
                <c:pt idx="223">
                  <c:v>0.14630000000000001</c:v>
                </c:pt>
                <c:pt idx="224">
                  <c:v>0.15029999999999999</c:v>
                </c:pt>
                <c:pt idx="225">
                  <c:v>0.16500000000000001</c:v>
                </c:pt>
                <c:pt idx="226">
                  <c:v>0.17549999999999999</c:v>
                </c:pt>
                <c:pt idx="227">
                  <c:v>0.19439999999999999</c:v>
                </c:pt>
                <c:pt idx="228">
                  <c:v>0.19089999999999999</c:v>
                </c:pt>
                <c:pt idx="229">
                  <c:v>0.19009999999999999</c:v>
                </c:pt>
                <c:pt idx="230">
                  <c:v>0.1943</c:v>
                </c:pt>
                <c:pt idx="231">
                  <c:v>0.18029999999999999</c:v>
                </c:pt>
                <c:pt idx="232">
                  <c:v>0.16059999999999999</c:v>
                </c:pt>
                <c:pt idx="233">
                  <c:v>0.16070000000000001</c:v>
                </c:pt>
                <c:pt idx="234">
                  <c:v>0.17069999999999999</c:v>
                </c:pt>
                <c:pt idx="235">
                  <c:v>0.17519999999999999</c:v>
                </c:pt>
                <c:pt idx="236">
                  <c:v>0.20669999999999999</c:v>
                </c:pt>
                <c:pt idx="237">
                  <c:v>0.2021</c:v>
                </c:pt>
                <c:pt idx="238">
                  <c:v>0.2009</c:v>
                </c:pt>
                <c:pt idx="239">
                  <c:v>0.19650000000000001</c:v>
                </c:pt>
                <c:pt idx="240">
                  <c:v>0.1716</c:v>
                </c:pt>
                <c:pt idx="241">
                  <c:v>0.1726</c:v>
                </c:pt>
                <c:pt idx="242">
                  <c:v>0.1807</c:v>
                </c:pt>
                <c:pt idx="243">
                  <c:v>0.20200000000000001</c:v>
                </c:pt>
                <c:pt idx="244">
                  <c:v>0.19650000000000001</c:v>
                </c:pt>
                <c:pt idx="245">
                  <c:v>0.19450000000000001</c:v>
                </c:pt>
                <c:pt idx="246">
                  <c:v>0.22320000000000001</c:v>
                </c:pt>
                <c:pt idx="247">
                  <c:v>0.2135</c:v>
                </c:pt>
                <c:pt idx="248">
                  <c:v>0.21240000000000001</c:v>
                </c:pt>
                <c:pt idx="249">
                  <c:v>0.20080000000000001</c:v>
                </c:pt>
                <c:pt idx="250">
                  <c:v>0.21210000000000001</c:v>
                </c:pt>
              </c:numCache>
            </c:numRef>
          </c:val>
          <c:smooth val="0"/>
          <c:extLst>
            <c:ext xmlns:c16="http://schemas.microsoft.com/office/drawing/2014/chart" uri="{C3380CC4-5D6E-409C-BE32-E72D297353CC}">
              <c16:uniqueId val="{00000004-7F0D-4D4B-A64C-CDFE76AE6D25}"/>
            </c:ext>
          </c:extLst>
        </c:ser>
        <c:ser>
          <c:idx val="3"/>
          <c:order val="3"/>
          <c:tx>
            <c:strRef>
              <c:f>Data_From_Collab!$E$1</c:f>
              <c:strCache>
                <c:ptCount val="1"/>
                <c:pt idx="0">
                  <c:v>NFLX</c:v>
                </c:pt>
              </c:strCache>
            </c:strRef>
          </c:tx>
          <c:spPr>
            <a:ln w="28575" cap="rnd">
              <a:solidFill>
                <a:schemeClr val="accent4"/>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Data_From_Collab!$E$2:$E$252</c:f>
              <c:numCache>
                <c:formatCode>General</c:formatCode>
                <c:ptCount val="251"/>
                <c:pt idx="0">
                  <c:v>0.37887999999999999</c:v>
                </c:pt>
                <c:pt idx="1">
                  <c:v>0.39298</c:v>
                </c:pt>
                <c:pt idx="2">
                  <c:v>0.39523000000000003</c:v>
                </c:pt>
                <c:pt idx="3">
                  <c:v>0.40312999999999999</c:v>
                </c:pt>
                <c:pt idx="4">
                  <c:v>0.40046999999999999</c:v>
                </c:pt>
                <c:pt idx="5">
                  <c:v>0.40354000000000001</c:v>
                </c:pt>
                <c:pt idx="6">
                  <c:v>0.39928999999999998</c:v>
                </c:pt>
                <c:pt idx="7">
                  <c:v>0.39977000000000001</c:v>
                </c:pt>
                <c:pt idx="8">
                  <c:v>0.40937000000000001</c:v>
                </c:pt>
                <c:pt idx="9">
                  <c:v>0.42002</c:v>
                </c:pt>
                <c:pt idx="10">
                  <c:v>0.42397000000000001</c:v>
                </c:pt>
                <c:pt idx="11">
                  <c:v>0.43573000000000001</c:v>
                </c:pt>
                <c:pt idx="12">
                  <c:v>0.44085999999999997</c:v>
                </c:pt>
                <c:pt idx="13">
                  <c:v>0.44527</c:v>
                </c:pt>
                <c:pt idx="14">
                  <c:v>0.43196000000000001</c:v>
                </c:pt>
                <c:pt idx="15">
                  <c:v>0.43469999999999998</c:v>
                </c:pt>
                <c:pt idx="16">
                  <c:v>0.42444999999999999</c:v>
                </c:pt>
                <c:pt idx="17">
                  <c:v>0.42248000000000002</c:v>
                </c:pt>
                <c:pt idx="18">
                  <c:v>0.42402000000000001</c:v>
                </c:pt>
                <c:pt idx="19">
                  <c:v>0.41593999999999998</c:v>
                </c:pt>
                <c:pt idx="20">
                  <c:v>0.41708000000000001</c:v>
                </c:pt>
                <c:pt idx="21">
                  <c:v>0.42984</c:v>
                </c:pt>
                <c:pt idx="22">
                  <c:v>0.42824000000000001</c:v>
                </c:pt>
                <c:pt idx="23">
                  <c:v>0.44048999999999999</c:v>
                </c:pt>
                <c:pt idx="24">
                  <c:v>0.44144</c:v>
                </c:pt>
                <c:pt idx="25">
                  <c:v>0.44590000000000002</c:v>
                </c:pt>
                <c:pt idx="26">
                  <c:v>0.43884000000000001</c:v>
                </c:pt>
                <c:pt idx="27">
                  <c:v>0.43809999999999999</c:v>
                </c:pt>
                <c:pt idx="28">
                  <c:v>0.44170999999999999</c:v>
                </c:pt>
                <c:pt idx="29">
                  <c:v>0.44020999999999999</c:v>
                </c:pt>
                <c:pt idx="30">
                  <c:v>0.44405</c:v>
                </c:pt>
                <c:pt idx="31">
                  <c:v>0.45038</c:v>
                </c:pt>
                <c:pt idx="32">
                  <c:v>0.44191000000000003</c:v>
                </c:pt>
                <c:pt idx="33">
                  <c:v>0.45005000000000001</c:v>
                </c:pt>
                <c:pt idx="34">
                  <c:v>0.4748</c:v>
                </c:pt>
                <c:pt idx="35">
                  <c:v>0.47759000000000001</c:v>
                </c:pt>
                <c:pt idx="36">
                  <c:v>0.43741999999999998</c:v>
                </c:pt>
                <c:pt idx="37">
                  <c:v>0.42749999999999999</c:v>
                </c:pt>
                <c:pt idx="38">
                  <c:v>0.42836999999999997</c:v>
                </c:pt>
                <c:pt idx="39">
                  <c:v>0.42770000000000002</c:v>
                </c:pt>
                <c:pt idx="40">
                  <c:v>0.42266999999999999</c:v>
                </c:pt>
                <c:pt idx="41">
                  <c:v>0.41316999999999998</c:v>
                </c:pt>
                <c:pt idx="42">
                  <c:v>0.42577999999999999</c:v>
                </c:pt>
                <c:pt idx="43">
                  <c:v>0.43897000000000003</c:v>
                </c:pt>
                <c:pt idx="44">
                  <c:v>0.43862000000000001</c:v>
                </c:pt>
                <c:pt idx="45">
                  <c:v>0.42970000000000003</c:v>
                </c:pt>
                <c:pt idx="46">
                  <c:v>0.43099999999999999</c:v>
                </c:pt>
                <c:pt idx="47">
                  <c:v>0.43159999999999998</c:v>
                </c:pt>
                <c:pt idx="48">
                  <c:v>0.44075999999999999</c:v>
                </c:pt>
                <c:pt idx="49">
                  <c:v>0.43830000000000002</c:v>
                </c:pt>
                <c:pt idx="50">
                  <c:v>0.4289</c:v>
                </c:pt>
                <c:pt idx="51">
                  <c:v>0.42997999999999997</c:v>
                </c:pt>
                <c:pt idx="52">
                  <c:v>0.42165999999999998</c:v>
                </c:pt>
                <c:pt idx="53">
                  <c:v>0.42777999999999999</c:v>
                </c:pt>
                <c:pt idx="54">
                  <c:v>0.42370000000000002</c:v>
                </c:pt>
                <c:pt idx="55">
                  <c:v>0.41544999999999999</c:v>
                </c:pt>
                <c:pt idx="56">
                  <c:v>0.40300000000000002</c:v>
                </c:pt>
                <c:pt idx="57">
                  <c:v>0.40453</c:v>
                </c:pt>
                <c:pt idx="58">
                  <c:v>0.40828999999999999</c:v>
                </c:pt>
                <c:pt idx="59">
                  <c:v>0.41316999999999998</c:v>
                </c:pt>
                <c:pt idx="60">
                  <c:v>0.42754999999999999</c:v>
                </c:pt>
                <c:pt idx="61">
                  <c:v>0.40693000000000001</c:v>
                </c:pt>
                <c:pt idx="62">
                  <c:v>0.41603000000000001</c:v>
                </c:pt>
                <c:pt idx="63">
                  <c:v>0.41805999999999999</c:v>
                </c:pt>
                <c:pt idx="64">
                  <c:v>0.42998999999999998</c:v>
                </c:pt>
                <c:pt idx="65">
                  <c:v>0.43467</c:v>
                </c:pt>
                <c:pt idx="66">
                  <c:v>0.43368000000000001</c:v>
                </c:pt>
                <c:pt idx="67">
                  <c:v>0.43987999999999999</c:v>
                </c:pt>
                <c:pt idx="68">
                  <c:v>0.44868000000000002</c:v>
                </c:pt>
                <c:pt idx="69">
                  <c:v>0.44575999999999999</c:v>
                </c:pt>
                <c:pt idx="70">
                  <c:v>0.44313999999999998</c:v>
                </c:pt>
                <c:pt idx="71">
                  <c:v>0.44280000000000003</c:v>
                </c:pt>
                <c:pt idx="72">
                  <c:v>0.44535999999999998</c:v>
                </c:pt>
                <c:pt idx="73">
                  <c:v>0.43469000000000002</c:v>
                </c:pt>
                <c:pt idx="74">
                  <c:v>0.41224</c:v>
                </c:pt>
                <c:pt idx="75">
                  <c:v>0.40049000000000001</c:v>
                </c:pt>
                <c:pt idx="76">
                  <c:v>0.39694000000000002</c:v>
                </c:pt>
                <c:pt idx="77">
                  <c:v>0.39439999999999997</c:v>
                </c:pt>
                <c:pt idx="78">
                  <c:v>0.3962</c:v>
                </c:pt>
                <c:pt idx="79">
                  <c:v>0.38629999999999998</c:v>
                </c:pt>
                <c:pt idx="80">
                  <c:v>0.38414999999999999</c:v>
                </c:pt>
                <c:pt idx="81">
                  <c:v>0.37980999999999998</c:v>
                </c:pt>
                <c:pt idx="82">
                  <c:v>0.38479999999999998</c:v>
                </c:pt>
                <c:pt idx="83">
                  <c:v>0.37924999999999998</c:v>
                </c:pt>
                <c:pt idx="84">
                  <c:v>0.37758999999999998</c:v>
                </c:pt>
                <c:pt idx="85">
                  <c:v>0.37635999999999997</c:v>
                </c:pt>
                <c:pt idx="86">
                  <c:v>0.37759999999999999</c:v>
                </c:pt>
                <c:pt idx="87">
                  <c:v>0.38033</c:v>
                </c:pt>
                <c:pt idx="88">
                  <c:v>0.37674999999999997</c:v>
                </c:pt>
                <c:pt idx="89">
                  <c:v>0.37690000000000001</c:v>
                </c:pt>
                <c:pt idx="90">
                  <c:v>0.37258999999999998</c:v>
                </c:pt>
                <c:pt idx="91">
                  <c:v>0.38151000000000002</c:v>
                </c:pt>
                <c:pt idx="92">
                  <c:v>0.38595000000000002</c:v>
                </c:pt>
                <c:pt idx="93">
                  <c:v>0.37331999999999999</c:v>
                </c:pt>
                <c:pt idx="94">
                  <c:v>0.36592999999999998</c:v>
                </c:pt>
                <c:pt idx="95">
                  <c:v>0.36120000000000002</c:v>
                </c:pt>
                <c:pt idx="96">
                  <c:v>0.35568</c:v>
                </c:pt>
                <c:pt idx="97">
                  <c:v>0.36081999999999997</c:v>
                </c:pt>
                <c:pt idx="98">
                  <c:v>0.35571999999999998</c:v>
                </c:pt>
                <c:pt idx="99">
                  <c:v>0.34619</c:v>
                </c:pt>
                <c:pt idx="100">
                  <c:v>0.40177000000000002</c:v>
                </c:pt>
                <c:pt idx="101">
                  <c:v>0.40095999999999998</c:v>
                </c:pt>
                <c:pt idx="102">
                  <c:v>0.40683999999999998</c:v>
                </c:pt>
                <c:pt idx="103">
                  <c:v>0.41372999999999999</c:v>
                </c:pt>
                <c:pt idx="104">
                  <c:v>0.41125</c:v>
                </c:pt>
                <c:pt idx="105">
                  <c:v>0.40354000000000001</c:v>
                </c:pt>
                <c:pt idx="106">
                  <c:v>0.39787</c:v>
                </c:pt>
                <c:pt idx="107">
                  <c:v>0.41008</c:v>
                </c:pt>
                <c:pt idx="108">
                  <c:v>0.41169</c:v>
                </c:pt>
                <c:pt idx="109">
                  <c:v>0.42019000000000001</c:v>
                </c:pt>
                <c:pt idx="110">
                  <c:v>0.42470999999999998</c:v>
                </c:pt>
                <c:pt idx="111">
                  <c:v>0.43236000000000002</c:v>
                </c:pt>
                <c:pt idx="112">
                  <c:v>0.43474000000000002</c:v>
                </c:pt>
                <c:pt idx="113">
                  <c:v>0.43461</c:v>
                </c:pt>
                <c:pt idx="114">
                  <c:v>0.43664999999999998</c:v>
                </c:pt>
                <c:pt idx="115">
                  <c:v>0.43514999999999998</c:v>
                </c:pt>
                <c:pt idx="116">
                  <c:v>0.44724000000000003</c:v>
                </c:pt>
                <c:pt idx="117">
                  <c:v>0.44462000000000002</c:v>
                </c:pt>
                <c:pt idx="118">
                  <c:v>0.44864999999999999</c:v>
                </c:pt>
                <c:pt idx="119">
                  <c:v>0.46194000000000002</c:v>
                </c:pt>
                <c:pt idx="120">
                  <c:v>0.46694999999999998</c:v>
                </c:pt>
                <c:pt idx="121">
                  <c:v>0.46590999999999999</c:v>
                </c:pt>
                <c:pt idx="122">
                  <c:v>0.47447</c:v>
                </c:pt>
                <c:pt idx="123">
                  <c:v>0.47494999999999998</c:v>
                </c:pt>
                <c:pt idx="124">
                  <c:v>0.47799999999999998</c:v>
                </c:pt>
                <c:pt idx="125">
                  <c:v>0.47955999999999999</c:v>
                </c:pt>
                <c:pt idx="126">
                  <c:v>0.47916999999999998</c:v>
                </c:pt>
                <c:pt idx="127">
                  <c:v>0.47899999999999998</c:v>
                </c:pt>
                <c:pt idx="128">
                  <c:v>0.47719</c:v>
                </c:pt>
                <c:pt idx="129">
                  <c:v>0.47397</c:v>
                </c:pt>
                <c:pt idx="130">
                  <c:v>0.46573999999999999</c:v>
                </c:pt>
                <c:pt idx="131">
                  <c:v>0.45390000000000003</c:v>
                </c:pt>
                <c:pt idx="132">
                  <c:v>0.45515</c:v>
                </c:pt>
                <c:pt idx="133">
                  <c:v>0.44673000000000002</c:v>
                </c:pt>
                <c:pt idx="134">
                  <c:v>0.45200000000000001</c:v>
                </c:pt>
                <c:pt idx="135">
                  <c:v>0.45376</c:v>
                </c:pt>
                <c:pt idx="136">
                  <c:v>0.45989000000000002</c:v>
                </c:pt>
                <c:pt idx="137">
                  <c:v>0.46300000000000002</c:v>
                </c:pt>
                <c:pt idx="138">
                  <c:v>0.47998000000000002</c:v>
                </c:pt>
                <c:pt idx="139">
                  <c:v>0.46983000000000003</c:v>
                </c:pt>
                <c:pt idx="140">
                  <c:v>0.47205999999999998</c:v>
                </c:pt>
                <c:pt idx="141">
                  <c:v>0.48612</c:v>
                </c:pt>
                <c:pt idx="142">
                  <c:v>0.49502000000000002</c:v>
                </c:pt>
                <c:pt idx="143">
                  <c:v>0.48926999999999998</c:v>
                </c:pt>
                <c:pt idx="144">
                  <c:v>0.49160999999999999</c:v>
                </c:pt>
                <c:pt idx="145">
                  <c:v>0.48676000000000003</c:v>
                </c:pt>
                <c:pt idx="146">
                  <c:v>0.49119000000000002</c:v>
                </c:pt>
                <c:pt idx="147">
                  <c:v>0.49179</c:v>
                </c:pt>
                <c:pt idx="148">
                  <c:v>0.49051</c:v>
                </c:pt>
                <c:pt idx="149">
                  <c:v>0.48687999999999998</c:v>
                </c:pt>
                <c:pt idx="150">
                  <c:v>0.46850000000000003</c:v>
                </c:pt>
                <c:pt idx="151">
                  <c:v>0.47026000000000001</c:v>
                </c:pt>
                <c:pt idx="152">
                  <c:v>0.47466999999999998</c:v>
                </c:pt>
                <c:pt idx="153">
                  <c:v>0.47405999999999998</c:v>
                </c:pt>
                <c:pt idx="154">
                  <c:v>0.48503000000000002</c:v>
                </c:pt>
                <c:pt idx="155">
                  <c:v>0.48209000000000002</c:v>
                </c:pt>
                <c:pt idx="156">
                  <c:v>0.47832999999999998</c:v>
                </c:pt>
                <c:pt idx="157">
                  <c:v>0.49223</c:v>
                </c:pt>
                <c:pt idx="158">
                  <c:v>0.49215999999999999</c:v>
                </c:pt>
                <c:pt idx="159">
                  <c:v>0.48124</c:v>
                </c:pt>
                <c:pt idx="160">
                  <c:v>0.48032999999999998</c:v>
                </c:pt>
                <c:pt idx="161">
                  <c:v>0.48531000000000002</c:v>
                </c:pt>
                <c:pt idx="162">
                  <c:v>0.48294999999999999</c:v>
                </c:pt>
                <c:pt idx="163">
                  <c:v>0.48570999999999998</c:v>
                </c:pt>
                <c:pt idx="164">
                  <c:v>0.49219000000000002</c:v>
                </c:pt>
                <c:pt idx="165">
                  <c:v>0.54486999999999997</c:v>
                </c:pt>
                <c:pt idx="166">
                  <c:v>0.56200000000000006</c:v>
                </c:pt>
                <c:pt idx="167">
                  <c:v>0.57042000000000004</c:v>
                </c:pt>
                <c:pt idx="168">
                  <c:v>0.57579000000000002</c:v>
                </c:pt>
                <c:pt idx="169">
                  <c:v>0.56284999999999996</c:v>
                </c:pt>
                <c:pt idx="170">
                  <c:v>0.56411</c:v>
                </c:pt>
                <c:pt idx="171">
                  <c:v>0.56750999999999996</c:v>
                </c:pt>
                <c:pt idx="172">
                  <c:v>0.56464000000000003</c:v>
                </c:pt>
                <c:pt idx="173">
                  <c:v>0.56206</c:v>
                </c:pt>
                <c:pt idx="174">
                  <c:v>0.55588000000000004</c:v>
                </c:pt>
                <c:pt idx="175">
                  <c:v>0.55930000000000002</c:v>
                </c:pt>
                <c:pt idx="176">
                  <c:v>0.55852999999999997</c:v>
                </c:pt>
                <c:pt idx="177">
                  <c:v>0.56132000000000004</c:v>
                </c:pt>
                <c:pt idx="178">
                  <c:v>0.55784999999999996</c:v>
                </c:pt>
                <c:pt idx="179">
                  <c:v>0.55452000000000001</c:v>
                </c:pt>
                <c:pt idx="180">
                  <c:v>0.57933000000000001</c:v>
                </c:pt>
                <c:pt idx="181">
                  <c:v>0.59345999999999999</c:v>
                </c:pt>
                <c:pt idx="182">
                  <c:v>0.58394999999999997</c:v>
                </c:pt>
                <c:pt idx="183">
                  <c:v>0.57513000000000003</c:v>
                </c:pt>
                <c:pt idx="184">
                  <c:v>0.57335000000000003</c:v>
                </c:pt>
                <c:pt idx="185">
                  <c:v>0.58847000000000005</c:v>
                </c:pt>
                <c:pt idx="186">
                  <c:v>0.58355999999999997</c:v>
                </c:pt>
                <c:pt idx="187">
                  <c:v>0.58765000000000001</c:v>
                </c:pt>
                <c:pt idx="188">
                  <c:v>0.60167000000000004</c:v>
                </c:pt>
                <c:pt idx="189">
                  <c:v>0.59648000000000001</c:v>
                </c:pt>
                <c:pt idx="190">
                  <c:v>0.60292000000000001</c:v>
                </c:pt>
                <c:pt idx="191">
                  <c:v>0.61934</c:v>
                </c:pt>
                <c:pt idx="192">
                  <c:v>0.61582999999999999</c:v>
                </c:pt>
                <c:pt idx="193">
                  <c:v>0.59850000000000003</c:v>
                </c:pt>
                <c:pt idx="194">
                  <c:v>0.59769000000000005</c:v>
                </c:pt>
                <c:pt idx="195">
                  <c:v>0.60851</c:v>
                </c:pt>
                <c:pt idx="196">
                  <c:v>0.60482000000000002</c:v>
                </c:pt>
                <c:pt idx="197">
                  <c:v>0.60092999999999996</c:v>
                </c:pt>
                <c:pt idx="198">
                  <c:v>0.61107999999999996</c:v>
                </c:pt>
                <c:pt idx="199">
                  <c:v>0.60945000000000005</c:v>
                </c:pt>
                <c:pt idx="200">
                  <c:v>0.61301000000000005</c:v>
                </c:pt>
                <c:pt idx="201">
                  <c:v>0.60587999999999997</c:v>
                </c:pt>
                <c:pt idx="202">
                  <c:v>0.61839</c:v>
                </c:pt>
                <c:pt idx="203">
                  <c:v>0.62073999999999996</c:v>
                </c:pt>
                <c:pt idx="204">
                  <c:v>0.62768999999999997</c:v>
                </c:pt>
                <c:pt idx="205">
                  <c:v>0.62270999999999999</c:v>
                </c:pt>
                <c:pt idx="206">
                  <c:v>0.62800999999999996</c:v>
                </c:pt>
                <c:pt idx="207">
                  <c:v>0.62746000000000002</c:v>
                </c:pt>
                <c:pt idx="208">
                  <c:v>0.62924000000000002</c:v>
                </c:pt>
                <c:pt idx="209">
                  <c:v>0.61353000000000002</c:v>
                </c:pt>
                <c:pt idx="210">
                  <c:v>0.60733000000000004</c:v>
                </c:pt>
                <c:pt idx="211">
                  <c:v>0.61431000000000002</c:v>
                </c:pt>
                <c:pt idx="212">
                  <c:v>0.61421000000000003</c:v>
                </c:pt>
                <c:pt idx="213">
                  <c:v>0.63007999999999997</c:v>
                </c:pt>
                <c:pt idx="214">
                  <c:v>0.61714000000000002</c:v>
                </c:pt>
                <c:pt idx="215">
                  <c:v>0.63617999999999997</c:v>
                </c:pt>
                <c:pt idx="216">
                  <c:v>0.62841000000000002</c:v>
                </c:pt>
                <c:pt idx="217">
                  <c:v>0.61819999999999997</c:v>
                </c:pt>
                <c:pt idx="218">
                  <c:v>0.61858000000000002</c:v>
                </c:pt>
                <c:pt idx="219">
                  <c:v>0.62878000000000001</c:v>
                </c:pt>
                <c:pt idx="220">
                  <c:v>0.62282999999999999</c:v>
                </c:pt>
                <c:pt idx="221">
                  <c:v>0.60714999999999997</c:v>
                </c:pt>
                <c:pt idx="222">
                  <c:v>0.61751999999999996</c:v>
                </c:pt>
                <c:pt idx="223">
                  <c:v>0.61368999999999996</c:v>
                </c:pt>
                <c:pt idx="224">
                  <c:v>0.61055999999999999</c:v>
                </c:pt>
                <c:pt idx="225">
                  <c:v>0.55503999999999998</c:v>
                </c:pt>
                <c:pt idx="226">
                  <c:v>0.55459999999999998</c:v>
                </c:pt>
                <c:pt idx="227">
                  <c:v>0.57774999999999999</c:v>
                </c:pt>
                <c:pt idx="228">
                  <c:v>0.55511999999999995</c:v>
                </c:pt>
                <c:pt idx="229">
                  <c:v>0.56479999999999997</c:v>
                </c:pt>
                <c:pt idx="230">
                  <c:v>0.56123000000000001</c:v>
                </c:pt>
                <c:pt idx="231">
                  <c:v>0.55949000000000004</c:v>
                </c:pt>
                <c:pt idx="232">
                  <c:v>0.55064000000000002</c:v>
                </c:pt>
                <c:pt idx="233">
                  <c:v>0.55171000000000003</c:v>
                </c:pt>
                <c:pt idx="234">
                  <c:v>0.56515000000000004</c:v>
                </c:pt>
                <c:pt idx="235">
                  <c:v>0.57933999999999997</c:v>
                </c:pt>
                <c:pt idx="236">
                  <c:v>0.59697</c:v>
                </c:pt>
                <c:pt idx="237">
                  <c:v>0.60599999999999998</c:v>
                </c:pt>
                <c:pt idx="238">
                  <c:v>0.60946999999999996</c:v>
                </c:pt>
                <c:pt idx="239">
                  <c:v>0.61209000000000002</c:v>
                </c:pt>
                <c:pt idx="240">
                  <c:v>0.61087000000000002</c:v>
                </c:pt>
                <c:pt idx="241">
                  <c:v>0.61658999999999997</c:v>
                </c:pt>
                <c:pt idx="242">
                  <c:v>0.61365999999999998</c:v>
                </c:pt>
                <c:pt idx="243">
                  <c:v>0.61351999999999995</c:v>
                </c:pt>
                <c:pt idx="244">
                  <c:v>0.61051999999999995</c:v>
                </c:pt>
                <c:pt idx="245">
                  <c:v>0.62109999999999999</c:v>
                </c:pt>
                <c:pt idx="246">
                  <c:v>0.64081999999999995</c:v>
                </c:pt>
                <c:pt idx="247">
                  <c:v>0.65061000000000002</c:v>
                </c:pt>
                <c:pt idx="248">
                  <c:v>0.64046999999999998</c:v>
                </c:pt>
                <c:pt idx="249">
                  <c:v>0.63566999999999996</c:v>
                </c:pt>
                <c:pt idx="250">
                  <c:v>0.64675000000000005</c:v>
                </c:pt>
              </c:numCache>
            </c:numRef>
          </c:val>
          <c:smooth val="0"/>
          <c:extLst>
            <c:ext xmlns:c16="http://schemas.microsoft.com/office/drawing/2014/chart" uri="{C3380CC4-5D6E-409C-BE32-E72D297353CC}">
              <c16:uniqueId val="{00000006-7F0D-4D4B-A64C-CDFE76AE6D25}"/>
            </c:ext>
          </c:extLst>
        </c:ser>
        <c:ser>
          <c:idx val="4"/>
          <c:order val="4"/>
          <c:tx>
            <c:strRef>
              <c:f>Data_From_Collab!$F$1</c:f>
              <c:strCache>
                <c:ptCount val="1"/>
                <c:pt idx="0">
                  <c:v>NIO</c:v>
                </c:pt>
              </c:strCache>
            </c:strRef>
          </c:tx>
          <c:spPr>
            <a:ln w="28575" cap="rnd">
              <a:solidFill>
                <a:schemeClr val="accent5"/>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Data_From_Collab!$F$2:$F$252</c:f>
              <c:numCache>
                <c:formatCode>General</c:formatCode>
                <c:ptCount val="251"/>
                <c:pt idx="0">
                  <c:v>7.6999999999999999E-2</c:v>
                </c:pt>
                <c:pt idx="1">
                  <c:v>7.4099999999999999E-2</c:v>
                </c:pt>
                <c:pt idx="2">
                  <c:v>7.5300000000000006E-2</c:v>
                </c:pt>
                <c:pt idx="3">
                  <c:v>7.5399999999999995E-2</c:v>
                </c:pt>
                <c:pt idx="4">
                  <c:v>7.5600000000000001E-2</c:v>
                </c:pt>
                <c:pt idx="5">
                  <c:v>7.6700000000000004E-2</c:v>
                </c:pt>
                <c:pt idx="6">
                  <c:v>7.8799999999999995E-2</c:v>
                </c:pt>
                <c:pt idx="7">
                  <c:v>7.7600000000000002E-2</c:v>
                </c:pt>
                <c:pt idx="8">
                  <c:v>7.7899999999999997E-2</c:v>
                </c:pt>
                <c:pt idx="9">
                  <c:v>7.7299999999999994E-2</c:v>
                </c:pt>
                <c:pt idx="10">
                  <c:v>8.4000000000000005E-2</c:v>
                </c:pt>
                <c:pt idx="11">
                  <c:v>8.8900000000000007E-2</c:v>
                </c:pt>
                <c:pt idx="12">
                  <c:v>9.0499999999999997E-2</c:v>
                </c:pt>
                <c:pt idx="13">
                  <c:v>9.7900000000000001E-2</c:v>
                </c:pt>
                <c:pt idx="14">
                  <c:v>9.4E-2</c:v>
                </c:pt>
                <c:pt idx="15">
                  <c:v>9.35E-2</c:v>
                </c:pt>
                <c:pt idx="16">
                  <c:v>9.0700000000000003E-2</c:v>
                </c:pt>
                <c:pt idx="17">
                  <c:v>8.9200000000000002E-2</c:v>
                </c:pt>
                <c:pt idx="18">
                  <c:v>8.43E-2</c:v>
                </c:pt>
                <c:pt idx="19">
                  <c:v>8.4000000000000005E-2</c:v>
                </c:pt>
                <c:pt idx="20">
                  <c:v>9.3399999999999997E-2</c:v>
                </c:pt>
                <c:pt idx="21">
                  <c:v>9.5200000000000007E-2</c:v>
                </c:pt>
                <c:pt idx="22">
                  <c:v>9.3899999999999997E-2</c:v>
                </c:pt>
                <c:pt idx="23">
                  <c:v>9.69E-2</c:v>
                </c:pt>
                <c:pt idx="24">
                  <c:v>0.1003</c:v>
                </c:pt>
                <c:pt idx="25">
                  <c:v>0.1022</c:v>
                </c:pt>
                <c:pt idx="26">
                  <c:v>9.5600000000000004E-2</c:v>
                </c:pt>
                <c:pt idx="27">
                  <c:v>9.9900000000000003E-2</c:v>
                </c:pt>
                <c:pt idx="28">
                  <c:v>0.10780000000000001</c:v>
                </c:pt>
                <c:pt idx="29">
                  <c:v>0.1081</c:v>
                </c:pt>
                <c:pt idx="30">
                  <c:v>0.1116</c:v>
                </c:pt>
                <c:pt idx="31">
                  <c:v>0.1076</c:v>
                </c:pt>
                <c:pt idx="32">
                  <c:v>0.10539999999999999</c:v>
                </c:pt>
                <c:pt idx="33">
                  <c:v>0.1056</c:v>
                </c:pt>
                <c:pt idx="34">
                  <c:v>0.1042</c:v>
                </c:pt>
                <c:pt idx="35">
                  <c:v>0.10639999999999999</c:v>
                </c:pt>
                <c:pt idx="36">
                  <c:v>0.1032</c:v>
                </c:pt>
                <c:pt idx="37">
                  <c:v>0.10580000000000001</c:v>
                </c:pt>
                <c:pt idx="38">
                  <c:v>0.1173</c:v>
                </c:pt>
                <c:pt idx="39">
                  <c:v>0.1191</c:v>
                </c:pt>
                <c:pt idx="40">
                  <c:v>0.13170000000000001</c:v>
                </c:pt>
                <c:pt idx="41">
                  <c:v>0.13239999999999999</c:v>
                </c:pt>
                <c:pt idx="42">
                  <c:v>0.1474</c:v>
                </c:pt>
                <c:pt idx="43">
                  <c:v>0.153</c:v>
                </c:pt>
                <c:pt idx="44">
                  <c:v>0.14630000000000001</c:v>
                </c:pt>
                <c:pt idx="45">
                  <c:v>0.1457</c:v>
                </c:pt>
                <c:pt idx="46">
                  <c:v>0.15459999999999999</c:v>
                </c:pt>
                <c:pt idx="47">
                  <c:v>0.1472</c:v>
                </c:pt>
                <c:pt idx="48">
                  <c:v>0.1482</c:v>
                </c:pt>
                <c:pt idx="49">
                  <c:v>0.14069999999999999</c:v>
                </c:pt>
                <c:pt idx="50">
                  <c:v>0.1346</c:v>
                </c:pt>
                <c:pt idx="51">
                  <c:v>0.13250000000000001</c:v>
                </c:pt>
                <c:pt idx="52">
                  <c:v>0.129</c:v>
                </c:pt>
                <c:pt idx="53">
                  <c:v>0.12520000000000001</c:v>
                </c:pt>
                <c:pt idx="54">
                  <c:v>0.1183</c:v>
                </c:pt>
                <c:pt idx="55">
                  <c:v>0.114</c:v>
                </c:pt>
                <c:pt idx="56">
                  <c:v>0.115</c:v>
                </c:pt>
                <c:pt idx="57">
                  <c:v>0.1067</c:v>
                </c:pt>
                <c:pt idx="58">
                  <c:v>0.1095</c:v>
                </c:pt>
                <c:pt idx="59">
                  <c:v>0.1079</c:v>
                </c:pt>
                <c:pt idx="60">
                  <c:v>0.1084</c:v>
                </c:pt>
                <c:pt idx="61">
                  <c:v>0.10639999999999999</c:v>
                </c:pt>
                <c:pt idx="62">
                  <c:v>0.10829999999999999</c:v>
                </c:pt>
                <c:pt idx="63">
                  <c:v>0.11020000000000001</c:v>
                </c:pt>
                <c:pt idx="64">
                  <c:v>0.1089</c:v>
                </c:pt>
                <c:pt idx="65">
                  <c:v>0.1067</c:v>
                </c:pt>
                <c:pt idx="66">
                  <c:v>0.1027</c:v>
                </c:pt>
                <c:pt idx="67">
                  <c:v>0.11</c:v>
                </c:pt>
                <c:pt idx="68">
                  <c:v>0.1081</c:v>
                </c:pt>
                <c:pt idx="69">
                  <c:v>0.10580000000000001</c:v>
                </c:pt>
                <c:pt idx="70">
                  <c:v>0.1008</c:v>
                </c:pt>
                <c:pt idx="71">
                  <c:v>0.1004</c:v>
                </c:pt>
                <c:pt idx="72">
                  <c:v>0.1033</c:v>
                </c:pt>
                <c:pt idx="73">
                  <c:v>0.1057</c:v>
                </c:pt>
                <c:pt idx="74">
                  <c:v>0.1007</c:v>
                </c:pt>
                <c:pt idx="75">
                  <c:v>0.1038</c:v>
                </c:pt>
                <c:pt idx="76">
                  <c:v>0.1043</c:v>
                </c:pt>
                <c:pt idx="77">
                  <c:v>0.1031</c:v>
                </c:pt>
                <c:pt idx="78">
                  <c:v>8.5500000000000007E-2</c:v>
                </c:pt>
                <c:pt idx="79">
                  <c:v>8.8200000000000001E-2</c:v>
                </c:pt>
                <c:pt idx="80">
                  <c:v>8.4500000000000006E-2</c:v>
                </c:pt>
                <c:pt idx="81">
                  <c:v>8.5300000000000001E-2</c:v>
                </c:pt>
                <c:pt idx="82">
                  <c:v>8.3500000000000005E-2</c:v>
                </c:pt>
                <c:pt idx="83">
                  <c:v>8.4099999999999994E-2</c:v>
                </c:pt>
                <c:pt idx="84">
                  <c:v>8.4599999999999995E-2</c:v>
                </c:pt>
                <c:pt idx="85">
                  <c:v>8.9099999999999999E-2</c:v>
                </c:pt>
                <c:pt idx="86">
                  <c:v>9.0399999999999994E-2</c:v>
                </c:pt>
                <c:pt idx="87">
                  <c:v>8.7900000000000006E-2</c:v>
                </c:pt>
                <c:pt idx="88">
                  <c:v>8.6099999999999996E-2</c:v>
                </c:pt>
                <c:pt idx="89">
                  <c:v>8.8300000000000003E-2</c:v>
                </c:pt>
                <c:pt idx="90">
                  <c:v>8.6599999999999996E-2</c:v>
                </c:pt>
                <c:pt idx="91">
                  <c:v>8.72E-2</c:v>
                </c:pt>
                <c:pt idx="92">
                  <c:v>8.3400000000000002E-2</c:v>
                </c:pt>
                <c:pt idx="93">
                  <c:v>8.8300000000000003E-2</c:v>
                </c:pt>
                <c:pt idx="94">
                  <c:v>8.9700000000000002E-2</c:v>
                </c:pt>
                <c:pt idx="95">
                  <c:v>8.4400000000000003E-2</c:v>
                </c:pt>
                <c:pt idx="96">
                  <c:v>8.4699999999999998E-2</c:v>
                </c:pt>
                <c:pt idx="97">
                  <c:v>8.5199999999999998E-2</c:v>
                </c:pt>
                <c:pt idx="98">
                  <c:v>8.5300000000000001E-2</c:v>
                </c:pt>
                <c:pt idx="99">
                  <c:v>7.9100000000000004E-2</c:v>
                </c:pt>
                <c:pt idx="100">
                  <c:v>7.6899999999999996E-2</c:v>
                </c:pt>
                <c:pt idx="101">
                  <c:v>7.5800000000000006E-2</c:v>
                </c:pt>
                <c:pt idx="102">
                  <c:v>7.5899999999999995E-2</c:v>
                </c:pt>
                <c:pt idx="103">
                  <c:v>8.09E-2</c:v>
                </c:pt>
                <c:pt idx="104">
                  <c:v>7.5999999999999998E-2</c:v>
                </c:pt>
                <c:pt idx="105">
                  <c:v>7.6300000000000007E-2</c:v>
                </c:pt>
                <c:pt idx="106">
                  <c:v>7.4399999999999994E-2</c:v>
                </c:pt>
                <c:pt idx="107">
                  <c:v>7.5200000000000003E-2</c:v>
                </c:pt>
                <c:pt idx="108">
                  <c:v>7.2999999999999995E-2</c:v>
                </c:pt>
                <c:pt idx="109">
                  <c:v>7.4499999999999997E-2</c:v>
                </c:pt>
                <c:pt idx="110">
                  <c:v>7.7899999999999997E-2</c:v>
                </c:pt>
                <c:pt idx="111">
                  <c:v>8.2299999999999998E-2</c:v>
                </c:pt>
                <c:pt idx="112">
                  <c:v>7.9699999999999993E-2</c:v>
                </c:pt>
                <c:pt idx="113">
                  <c:v>7.8899999999999998E-2</c:v>
                </c:pt>
                <c:pt idx="114">
                  <c:v>7.9200000000000007E-2</c:v>
                </c:pt>
                <c:pt idx="115">
                  <c:v>7.4700000000000003E-2</c:v>
                </c:pt>
                <c:pt idx="116">
                  <c:v>7.2400000000000006E-2</c:v>
                </c:pt>
                <c:pt idx="117">
                  <c:v>7.22E-2</c:v>
                </c:pt>
                <c:pt idx="118">
                  <c:v>7.5800000000000006E-2</c:v>
                </c:pt>
                <c:pt idx="119">
                  <c:v>7.9399999999999998E-2</c:v>
                </c:pt>
                <c:pt idx="120">
                  <c:v>7.3999999999999996E-2</c:v>
                </c:pt>
                <c:pt idx="121">
                  <c:v>7.3899999999999993E-2</c:v>
                </c:pt>
                <c:pt idx="122">
                  <c:v>7.8E-2</c:v>
                </c:pt>
                <c:pt idx="123">
                  <c:v>7.51E-2</c:v>
                </c:pt>
                <c:pt idx="124">
                  <c:v>7.4700000000000003E-2</c:v>
                </c:pt>
                <c:pt idx="125">
                  <c:v>7.3999999999999996E-2</c:v>
                </c:pt>
                <c:pt idx="126">
                  <c:v>7.1900000000000006E-2</c:v>
                </c:pt>
                <c:pt idx="127">
                  <c:v>7.2099999999999997E-2</c:v>
                </c:pt>
                <c:pt idx="128">
                  <c:v>7.1800000000000003E-2</c:v>
                </c:pt>
                <c:pt idx="129">
                  <c:v>7.2700000000000001E-2</c:v>
                </c:pt>
                <c:pt idx="130">
                  <c:v>7.1499999999999994E-2</c:v>
                </c:pt>
                <c:pt idx="131">
                  <c:v>7.3200000000000001E-2</c:v>
                </c:pt>
                <c:pt idx="132">
                  <c:v>7.4300000000000005E-2</c:v>
                </c:pt>
                <c:pt idx="133">
                  <c:v>7.7499999999999999E-2</c:v>
                </c:pt>
                <c:pt idx="134">
                  <c:v>7.4899999999999994E-2</c:v>
                </c:pt>
                <c:pt idx="135">
                  <c:v>7.3800000000000004E-2</c:v>
                </c:pt>
                <c:pt idx="136">
                  <c:v>7.6799999999999993E-2</c:v>
                </c:pt>
                <c:pt idx="137">
                  <c:v>7.2700000000000001E-2</c:v>
                </c:pt>
                <c:pt idx="138">
                  <c:v>7.4300000000000005E-2</c:v>
                </c:pt>
                <c:pt idx="139">
                  <c:v>7.8600000000000003E-2</c:v>
                </c:pt>
                <c:pt idx="140">
                  <c:v>7.9799999999999996E-2</c:v>
                </c:pt>
                <c:pt idx="141">
                  <c:v>8.3500000000000005E-2</c:v>
                </c:pt>
                <c:pt idx="142">
                  <c:v>8.8200000000000001E-2</c:v>
                </c:pt>
                <c:pt idx="143">
                  <c:v>7.9200000000000007E-2</c:v>
                </c:pt>
                <c:pt idx="144">
                  <c:v>8.2900000000000001E-2</c:v>
                </c:pt>
                <c:pt idx="145">
                  <c:v>8.4199999999999997E-2</c:v>
                </c:pt>
                <c:pt idx="146">
                  <c:v>9.3299999999999994E-2</c:v>
                </c:pt>
                <c:pt idx="147">
                  <c:v>9.0999999999999998E-2</c:v>
                </c:pt>
                <c:pt idx="148">
                  <c:v>9.4299999999999995E-2</c:v>
                </c:pt>
                <c:pt idx="149">
                  <c:v>9.0700000000000003E-2</c:v>
                </c:pt>
                <c:pt idx="150">
                  <c:v>8.4199999999999997E-2</c:v>
                </c:pt>
                <c:pt idx="151">
                  <c:v>8.5000000000000006E-2</c:v>
                </c:pt>
                <c:pt idx="152">
                  <c:v>8.2699999999999996E-2</c:v>
                </c:pt>
                <c:pt idx="153">
                  <c:v>8.0600000000000005E-2</c:v>
                </c:pt>
                <c:pt idx="154">
                  <c:v>7.9299999999999995E-2</c:v>
                </c:pt>
                <c:pt idx="155">
                  <c:v>7.5600000000000001E-2</c:v>
                </c:pt>
                <c:pt idx="156">
                  <c:v>7.4099999999999999E-2</c:v>
                </c:pt>
                <c:pt idx="157">
                  <c:v>7.3999999999999996E-2</c:v>
                </c:pt>
                <c:pt idx="158">
                  <c:v>7.17E-2</c:v>
                </c:pt>
                <c:pt idx="159">
                  <c:v>6.5500000000000003E-2</c:v>
                </c:pt>
                <c:pt idx="160">
                  <c:v>6.3E-2</c:v>
                </c:pt>
                <c:pt idx="161">
                  <c:v>6.2799999999999995E-2</c:v>
                </c:pt>
                <c:pt idx="162">
                  <c:v>6.0600000000000001E-2</c:v>
                </c:pt>
                <c:pt idx="163">
                  <c:v>5.9799999999999999E-2</c:v>
                </c:pt>
                <c:pt idx="164">
                  <c:v>6.2100000000000002E-2</c:v>
                </c:pt>
                <c:pt idx="165">
                  <c:v>6.0699999999999997E-2</c:v>
                </c:pt>
                <c:pt idx="166">
                  <c:v>6.0400000000000002E-2</c:v>
                </c:pt>
                <c:pt idx="167">
                  <c:v>6.1400000000000003E-2</c:v>
                </c:pt>
                <c:pt idx="168">
                  <c:v>6.1400000000000003E-2</c:v>
                </c:pt>
                <c:pt idx="169">
                  <c:v>5.79E-2</c:v>
                </c:pt>
                <c:pt idx="170">
                  <c:v>5.62E-2</c:v>
                </c:pt>
                <c:pt idx="171">
                  <c:v>5.7099999999999998E-2</c:v>
                </c:pt>
                <c:pt idx="172">
                  <c:v>5.5399999999999998E-2</c:v>
                </c:pt>
                <c:pt idx="173">
                  <c:v>5.3800000000000001E-2</c:v>
                </c:pt>
                <c:pt idx="174">
                  <c:v>6.0299999999999999E-2</c:v>
                </c:pt>
                <c:pt idx="175">
                  <c:v>5.8599999999999999E-2</c:v>
                </c:pt>
                <c:pt idx="176">
                  <c:v>5.8200000000000002E-2</c:v>
                </c:pt>
                <c:pt idx="177">
                  <c:v>5.9299999999999999E-2</c:v>
                </c:pt>
                <c:pt idx="178">
                  <c:v>6.08E-2</c:v>
                </c:pt>
                <c:pt idx="179">
                  <c:v>5.7000000000000002E-2</c:v>
                </c:pt>
                <c:pt idx="180">
                  <c:v>0.06</c:v>
                </c:pt>
                <c:pt idx="181">
                  <c:v>6.0900000000000003E-2</c:v>
                </c:pt>
                <c:pt idx="182">
                  <c:v>6.1400000000000003E-2</c:v>
                </c:pt>
                <c:pt idx="183">
                  <c:v>5.96E-2</c:v>
                </c:pt>
                <c:pt idx="184">
                  <c:v>5.9700000000000003E-2</c:v>
                </c:pt>
                <c:pt idx="185">
                  <c:v>5.8500000000000003E-2</c:v>
                </c:pt>
                <c:pt idx="186">
                  <c:v>5.3999999999999999E-2</c:v>
                </c:pt>
                <c:pt idx="187">
                  <c:v>5.6500000000000002E-2</c:v>
                </c:pt>
                <c:pt idx="188">
                  <c:v>5.7799999999999997E-2</c:v>
                </c:pt>
                <c:pt idx="189">
                  <c:v>5.4300000000000001E-2</c:v>
                </c:pt>
                <c:pt idx="190">
                  <c:v>5.7500000000000002E-2</c:v>
                </c:pt>
                <c:pt idx="191">
                  <c:v>5.7799999999999997E-2</c:v>
                </c:pt>
                <c:pt idx="192">
                  <c:v>5.33E-2</c:v>
                </c:pt>
                <c:pt idx="193">
                  <c:v>5.4800000000000001E-2</c:v>
                </c:pt>
                <c:pt idx="194">
                  <c:v>5.7700000000000001E-2</c:v>
                </c:pt>
                <c:pt idx="195">
                  <c:v>5.7700000000000001E-2</c:v>
                </c:pt>
                <c:pt idx="196">
                  <c:v>5.8000000000000003E-2</c:v>
                </c:pt>
                <c:pt idx="197">
                  <c:v>6.0999999999999999E-2</c:v>
                </c:pt>
                <c:pt idx="198">
                  <c:v>6.1899999999999997E-2</c:v>
                </c:pt>
                <c:pt idx="199">
                  <c:v>5.9200000000000003E-2</c:v>
                </c:pt>
                <c:pt idx="200">
                  <c:v>5.5800000000000002E-2</c:v>
                </c:pt>
                <c:pt idx="201">
                  <c:v>5.5800000000000002E-2</c:v>
                </c:pt>
                <c:pt idx="202">
                  <c:v>5.5399999999999998E-2</c:v>
                </c:pt>
                <c:pt idx="203">
                  <c:v>5.1900000000000002E-2</c:v>
                </c:pt>
                <c:pt idx="204">
                  <c:v>5.0999999999999997E-2</c:v>
                </c:pt>
                <c:pt idx="205">
                  <c:v>0.05</c:v>
                </c:pt>
                <c:pt idx="206">
                  <c:v>4.8899999999999999E-2</c:v>
                </c:pt>
                <c:pt idx="207">
                  <c:v>4.9099999999999998E-2</c:v>
                </c:pt>
                <c:pt idx="208">
                  <c:v>4.7800000000000002E-2</c:v>
                </c:pt>
                <c:pt idx="209">
                  <c:v>4.6699999999999998E-2</c:v>
                </c:pt>
                <c:pt idx="210">
                  <c:v>4.4999999999999998E-2</c:v>
                </c:pt>
                <c:pt idx="211">
                  <c:v>4.6399999999999997E-2</c:v>
                </c:pt>
                <c:pt idx="212">
                  <c:v>4.5400000000000003E-2</c:v>
                </c:pt>
                <c:pt idx="213">
                  <c:v>4.4900000000000002E-2</c:v>
                </c:pt>
                <c:pt idx="214">
                  <c:v>4.4999999999999998E-2</c:v>
                </c:pt>
                <c:pt idx="215">
                  <c:v>4.3900000000000002E-2</c:v>
                </c:pt>
                <c:pt idx="216">
                  <c:v>4.3700000000000003E-2</c:v>
                </c:pt>
                <c:pt idx="217">
                  <c:v>4.7100000000000003E-2</c:v>
                </c:pt>
                <c:pt idx="218">
                  <c:v>4.5900000000000003E-2</c:v>
                </c:pt>
                <c:pt idx="219">
                  <c:v>4.4600000000000001E-2</c:v>
                </c:pt>
                <c:pt idx="220">
                  <c:v>4.1099999999999998E-2</c:v>
                </c:pt>
                <c:pt idx="221">
                  <c:v>3.8899999999999997E-2</c:v>
                </c:pt>
                <c:pt idx="222">
                  <c:v>3.8100000000000002E-2</c:v>
                </c:pt>
                <c:pt idx="223">
                  <c:v>3.9100000000000003E-2</c:v>
                </c:pt>
                <c:pt idx="224">
                  <c:v>0.04</c:v>
                </c:pt>
                <c:pt idx="225">
                  <c:v>3.7999999999999999E-2</c:v>
                </c:pt>
                <c:pt idx="226">
                  <c:v>0.04</c:v>
                </c:pt>
                <c:pt idx="227">
                  <c:v>4.0099999999999997E-2</c:v>
                </c:pt>
                <c:pt idx="228">
                  <c:v>4.1500000000000002E-2</c:v>
                </c:pt>
                <c:pt idx="229">
                  <c:v>4.1300000000000003E-2</c:v>
                </c:pt>
                <c:pt idx="230">
                  <c:v>4.4900000000000002E-2</c:v>
                </c:pt>
                <c:pt idx="231">
                  <c:v>4.5999999999999999E-2</c:v>
                </c:pt>
                <c:pt idx="232">
                  <c:v>4.7199999999999999E-2</c:v>
                </c:pt>
                <c:pt idx="233">
                  <c:v>5.2699999999999997E-2</c:v>
                </c:pt>
                <c:pt idx="234">
                  <c:v>5.5899999999999998E-2</c:v>
                </c:pt>
                <c:pt idx="235">
                  <c:v>5.57E-2</c:v>
                </c:pt>
                <c:pt idx="236">
                  <c:v>5.6899999999999999E-2</c:v>
                </c:pt>
                <c:pt idx="237">
                  <c:v>5.5100000000000003E-2</c:v>
                </c:pt>
                <c:pt idx="238">
                  <c:v>5.2200000000000003E-2</c:v>
                </c:pt>
                <c:pt idx="239">
                  <c:v>5.33E-2</c:v>
                </c:pt>
                <c:pt idx="240">
                  <c:v>5.0700000000000002E-2</c:v>
                </c:pt>
                <c:pt idx="241">
                  <c:v>5.4100000000000002E-2</c:v>
                </c:pt>
                <c:pt idx="242">
                  <c:v>5.79E-2</c:v>
                </c:pt>
                <c:pt idx="243">
                  <c:v>5.33E-2</c:v>
                </c:pt>
                <c:pt idx="244">
                  <c:v>5.2600000000000001E-2</c:v>
                </c:pt>
                <c:pt idx="245">
                  <c:v>5.28E-2</c:v>
                </c:pt>
                <c:pt idx="246">
                  <c:v>5.2200000000000003E-2</c:v>
                </c:pt>
                <c:pt idx="247">
                  <c:v>5.2499999999999998E-2</c:v>
                </c:pt>
                <c:pt idx="248">
                  <c:v>5.2400000000000002E-2</c:v>
                </c:pt>
                <c:pt idx="249">
                  <c:v>4.8000000000000001E-2</c:v>
                </c:pt>
                <c:pt idx="250">
                  <c:v>4.8300000000000003E-2</c:v>
                </c:pt>
              </c:numCache>
            </c:numRef>
          </c:val>
          <c:smooth val="0"/>
          <c:extLst>
            <c:ext xmlns:c16="http://schemas.microsoft.com/office/drawing/2014/chart" uri="{C3380CC4-5D6E-409C-BE32-E72D297353CC}">
              <c16:uniqueId val="{00000008-7F0D-4D4B-A64C-CDFE76AE6D25}"/>
            </c:ext>
          </c:extLst>
        </c:ser>
        <c:ser>
          <c:idx val="5"/>
          <c:order val="5"/>
          <c:tx>
            <c:strRef>
              <c:f>Data_From_Collab!$G$1</c:f>
              <c:strCache>
                <c:ptCount val="1"/>
                <c:pt idx="0">
                  <c:v>NOK</c:v>
                </c:pt>
              </c:strCache>
            </c:strRef>
          </c:tx>
          <c:spPr>
            <a:ln w="28575" cap="rnd">
              <a:solidFill>
                <a:schemeClr val="accent6"/>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Data_From_Collab!$G$2:$G$252</c:f>
              <c:numCache>
                <c:formatCode>General</c:formatCode>
                <c:ptCount val="251"/>
                <c:pt idx="0">
                  <c:v>3.7037E-2</c:v>
                </c:pt>
                <c:pt idx="1">
                  <c:v>3.7037E-2</c:v>
                </c:pt>
                <c:pt idx="2">
                  <c:v>3.6944999999999999E-2</c:v>
                </c:pt>
                <c:pt idx="3">
                  <c:v>3.7312999999999999E-2</c:v>
                </c:pt>
                <c:pt idx="4">
                  <c:v>3.7406000000000002E-2</c:v>
                </c:pt>
                <c:pt idx="5">
                  <c:v>3.7220999999999997E-2</c:v>
                </c:pt>
                <c:pt idx="6">
                  <c:v>3.6761000000000002E-2</c:v>
                </c:pt>
                <c:pt idx="7">
                  <c:v>3.7037E-2</c:v>
                </c:pt>
                <c:pt idx="8">
                  <c:v>3.6761000000000002E-2</c:v>
                </c:pt>
                <c:pt idx="9">
                  <c:v>3.6852999999999997E-2</c:v>
                </c:pt>
                <c:pt idx="10">
                  <c:v>3.7589999999999998E-2</c:v>
                </c:pt>
                <c:pt idx="11">
                  <c:v>3.7589999999999998E-2</c:v>
                </c:pt>
                <c:pt idx="12">
                  <c:v>3.8234999999999998E-2</c:v>
                </c:pt>
                <c:pt idx="13">
                  <c:v>3.9064000000000002E-2</c:v>
                </c:pt>
                <c:pt idx="14">
                  <c:v>3.9432000000000002E-2</c:v>
                </c:pt>
                <c:pt idx="15">
                  <c:v>3.8695E-2</c:v>
                </c:pt>
                <c:pt idx="16">
                  <c:v>3.7957999999999999E-2</c:v>
                </c:pt>
                <c:pt idx="17">
                  <c:v>3.7497999999999997E-2</c:v>
                </c:pt>
                <c:pt idx="18">
                  <c:v>3.6667999999999999E-2</c:v>
                </c:pt>
                <c:pt idx="19">
                  <c:v>3.7037E-2</c:v>
                </c:pt>
                <c:pt idx="20">
                  <c:v>3.7957999999999999E-2</c:v>
                </c:pt>
                <c:pt idx="21">
                  <c:v>3.8143000000000003E-2</c:v>
                </c:pt>
                <c:pt idx="22">
                  <c:v>3.8234999999999998E-2</c:v>
                </c:pt>
                <c:pt idx="23">
                  <c:v>3.8327E-2</c:v>
                </c:pt>
                <c:pt idx="24">
                  <c:v>3.9064000000000002E-2</c:v>
                </c:pt>
                <c:pt idx="25">
                  <c:v>3.8510999999999997E-2</c:v>
                </c:pt>
                <c:pt idx="26">
                  <c:v>3.8143000000000003E-2</c:v>
                </c:pt>
                <c:pt idx="27">
                  <c:v>3.8234999999999998E-2</c:v>
                </c:pt>
                <c:pt idx="28">
                  <c:v>3.8419000000000002E-2</c:v>
                </c:pt>
                <c:pt idx="29">
                  <c:v>3.8695E-2</c:v>
                </c:pt>
                <c:pt idx="30">
                  <c:v>3.9432000000000002E-2</c:v>
                </c:pt>
                <c:pt idx="31">
                  <c:v>4.0077000000000002E-2</c:v>
                </c:pt>
                <c:pt idx="32">
                  <c:v>3.6667999999999999E-2</c:v>
                </c:pt>
                <c:pt idx="33">
                  <c:v>3.5471000000000003E-2</c:v>
                </c:pt>
                <c:pt idx="34">
                  <c:v>3.5747000000000001E-2</c:v>
                </c:pt>
                <c:pt idx="35">
                  <c:v>3.6299999999999999E-2</c:v>
                </c:pt>
                <c:pt idx="36">
                  <c:v>3.6207999999999997E-2</c:v>
                </c:pt>
                <c:pt idx="37">
                  <c:v>3.6299999999999999E-2</c:v>
                </c:pt>
                <c:pt idx="38">
                  <c:v>3.6802000000000001E-2</c:v>
                </c:pt>
                <c:pt idx="39">
                  <c:v>3.6894999999999997E-2</c:v>
                </c:pt>
                <c:pt idx="40">
                  <c:v>3.6802000000000001E-2</c:v>
                </c:pt>
                <c:pt idx="41">
                  <c:v>3.6243999999999998E-2</c:v>
                </c:pt>
                <c:pt idx="42">
                  <c:v>3.6523E-2</c:v>
                </c:pt>
                <c:pt idx="43">
                  <c:v>3.6616000000000003E-2</c:v>
                </c:pt>
                <c:pt idx="44">
                  <c:v>3.6708999999999999E-2</c:v>
                </c:pt>
                <c:pt idx="45">
                  <c:v>3.6616000000000003E-2</c:v>
                </c:pt>
                <c:pt idx="46">
                  <c:v>3.6151000000000003E-2</c:v>
                </c:pt>
                <c:pt idx="47">
                  <c:v>3.6337000000000001E-2</c:v>
                </c:pt>
                <c:pt idx="48">
                  <c:v>3.6243999999999998E-2</c:v>
                </c:pt>
                <c:pt idx="49">
                  <c:v>3.6243999999999998E-2</c:v>
                </c:pt>
                <c:pt idx="50">
                  <c:v>3.6243999999999998E-2</c:v>
                </c:pt>
                <c:pt idx="51">
                  <c:v>3.6708999999999999E-2</c:v>
                </c:pt>
                <c:pt idx="52">
                  <c:v>3.6151000000000003E-2</c:v>
                </c:pt>
                <c:pt idx="53">
                  <c:v>3.5964999999999997E-2</c:v>
                </c:pt>
                <c:pt idx="54">
                  <c:v>3.5314999999999999E-2</c:v>
                </c:pt>
                <c:pt idx="55">
                  <c:v>3.4943000000000002E-2</c:v>
                </c:pt>
                <c:pt idx="56">
                  <c:v>3.5035999999999998E-2</c:v>
                </c:pt>
                <c:pt idx="57">
                  <c:v>3.5408000000000002E-2</c:v>
                </c:pt>
                <c:pt idx="58">
                  <c:v>3.5408000000000002E-2</c:v>
                </c:pt>
                <c:pt idx="59">
                  <c:v>3.5314999999999999E-2</c:v>
                </c:pt>
                <c:pt idx="60">
                  <c:v>3.5594000000000001E-2</c:v>
                </c:pt>
                <c:pt idx="61">
                  <c:v>3.5035999999999998E-2</c:v>
                </c:pt>
                <c:pt idx="62">
                  <c:v>3.5314999999999999E-2</c:v>
                </c:pt>
                <c:pt idx="63">
                  <c:v>3.5779999999999999E-2</c:v>
                </c:pt>
                <c:pt idx="64">
                  <c:v>3.6708999999999999E-2</c:v>
                </c:pt>
                <c:pt idx="65">
                  <c:v>3.6988E-2</c:v>
                </c:pt>
                <c:pt idx="66">
                  <c:v>3.7081000000000003E-2</c:v>
                </c:pt>
                <c:pt idx="67">
                  <c:v>3.7081000000000003E-2</c:v>
                </c:pt>
                <c:pt idx="68">
                  <c:v>3.7173999999999999E-2</c:v>
                </c:pt>
                <c:pt idx="69">
                  <c:v>3.7637999999999998E-2</c:v>
                </c:pt>
                <c:pt idx="70">
                  <c:v>3.7824000000000003E-2</c:v>
                </c:pt>
                <c:pt idx="71">
                  <c:v>3.7545000000000002E-2</c:v>
                </c:pt>
                <c:pt idx="72">
                  <c:v>3.7824000000000003E-2</c:v>
                </c:pt>
                <c:pt idx="73">
                  <c:v>3.7637999999999998E-2</c:v>
                </c:pt>
                <c:pt idx="74">
                  <c:v>3.7266000000000001E-2</c:v>
                </c:pt>
                <c:pt idx="75">
                  <c:v>3.7359000000000003E-2</c:v>
                </c:pt>
                <c:pt idx="76">
                  <c:v>3.6523E-2</c:v>
                </c:pt>
                <c:pt idx="77">
                  <c:v>3.6708999999999999E-2</c:v>
                </c:pt>
                <c:pt idx="78">
                  <c:v>3.7173999999999999E-2</c:v>
                </c:pt>
                <c:pt idx="79">
                  <c:v>3.6802000000000001E-2</c:v>
                </c:pt>
                <c:pt idx="80">
                  <c:v>3.5964999999999997E-2</c:v>
                </c:pt>
                <c:pt idx="81">
                  <c:v>3.6151000000000003E-2</c:v>
                </c:pt>
                <c:pt idx="82">
                  <c:v>3.5594000000000001E-2</c:v>
                </c:pt>
                <c:pt idx="83">
                  <c:v>3.4664E-2</c:v>
                </c:pt>
                <c:pt idx="84">
                  <c:v>3.4386E-2</c:v>
                </c:pt>
                <c:pt idx="85">
                  <c:v>3.4570999999999998E-2</c:v>
                </c:pt>
                <c:pt idx="86">
                  <c:v>3.4757000000000003E-2</c:v>
                </c:pt>
                <c:pt idx="87">
                  <c:v>3.4570999999999998E-2</c:v>
                </c:pt>
                <c:pt idx="88">
                  <c:v>3.4106999999999998E-2</c:v>
                </c:pt>
                <c:pt idx="89">
                  <c:v>3.3641999999999998E-2</c:v>
                </c:pt>
                <c:pt idx="90">
                  <c:v>3.2898999999999998E-2</c:v>
                </c:pt>
                <c:pt idx="91">
                  <c:v>3.3084000000000002E-2</c:v>
                </c:pt>
                <c:pt idx="92">
                  <c:v>3.3084000000000002E-2</c:v>
                </c:pt>
                <c:pt idx="93">
                  <c:v>3.3456E-2</c:v>
                </c:pt>
                <c:pt idx="94">
                  <c:v>3.3176999999999998E-2</c:v>
                </c:pt>
                <c:pt idx="95">
                  <c:v>3.3176999999999998E-2</c:v>
                </c:pt>
                <c:pt idx="96">
                  <c:v>3.2620000000000003E-2</c:v>
                </c:pt>
                <c:pt idx="97">
                  <c:v>3.3456E-2</c:v>
                </c:pt>
                <c:pt idx="98">
                  <c:v>3.2433999999999998E-2</c:v>
                </c:pt>
                <c:pt idx="99">
                  <c:v>3.1504999999999998E-2</c:v>
                </c:pt>
                <c:pt idx="100">
                  <c:v>2.9832000000000001E-2</c:v>
                </c:pt>
                <c:pt idx="101">
                  <c:v>2.9552999999999999E-2</c:v>
                </c:pt>
                <c:pt idx="102">
                  <c:v>2.9666000000000001E-2</c:v>
                </c:pt>
                <c:pt idx="103">
                  <c:v>3.0228999999999999E-2</c:v>
                </c:pt>
                <c:pt idx="104">
                  <c:v>3.0134999999999999E-2</c:v>
                </c:pt>
                <c:pt idx="105">
                  <c:v>3.0417E-2</c:v>
                </c:pt>
                <c:pt idx="106">
                  <c:v>3.0511E-2</c:v>
                </c:pt>
                <c:pt idx="107">
                  <c:v>3.0886E-2</c:v>
                </c:pt>
                <c:pt idx="108">
                  <c:v>3.1074000000000001E-2</c:v>
                </c:pt>
                <c:pt idx="109">
                  <c:v>3.0417E-2</c:v>
                </c:pt>
                <c:pt idx="110">
                  <c:v>3.1448999999999998E-2</c:v>
                </c:pt>
                <c:pt idx="111">
                  <c:v>3.2481999999999997E-2</c:v>
                </c:pt>
                <c:pt idx="112">
                  <c:v>3.2199999999999999E-2</c:v>
                </c:pt>
                <c:pt idx="113">
                  <c:v>3.2199999999999999E-2</c:v>
                </c:pt>
                <c:pt idx="114">
                  <c:v>3.2669999999999998E-2</c:v>
                </c:pt>
                <c:pt idx="115">
                  <c:v>3.2388E-2</c:v>
                </c:pt>
                <c:pt idx="116">
                  <c:v>3.2764000000000001E-2</c:v>
                </c:pt>
                <c:pt idx="117">
                  <c:v>3.2669999999999998E-2</c:v>
                </c:pt>
                <c:pt idx="118">
                  <c:v>3.3515000000000003E-2</c:v>
                </c:pt>
                <c:pt idx="119">
                  <c:v>3.3702000000000003E-2</c:v>
                </c:pt>
                <c:pt idx="120">
                  <c:v>3.3232999999999999E-2</c:v>
                </c:pt>
                <c:pt idx="121">
                  <c:v>3.3420999999999999E-2</c:v>
                </c:pt>
                <c:pt idx="122">
                  <c:v>3.3702000000000003E-2</c:v>
                </c:pt>
                <c:pt idx="123">
                  <c:v>3.3139000000000002E-2</c:v>
                </c:pt>
                <c:pt idx="124">
                  <c:v>3.3139000000000002E-2</c:v>
                </c:pt>
                <c:pt idx="125">
                  <c:v>3.3327000000000002E-2</c:v>
                </c:pt>
                <c:pt idx="126">
                  <c:v>3.3232999999999999E-2</c:v>
                </c:pt>
                <c:pt idx="127">
                  <c:v>3.3044999999999998E-2</c:v>
                </c:pt>
                <c:pt idx="128">
                  <c:v>3.3420999999999999E-2</c:v>
                </c:pt>
                <c:pt idx="129">
                  <c:v>3.2669999999999998E-2</c:v>
                </c:pt>
                <c:pt idx="130">
                  <c:v>3.2764000000000001E-2</c:v>
                </c:pt>
                <c:pt idx="131">
                  <c:v>2.9666000000000001E-2</c:v>
                </c:pt>
                <c:pt idx="132">
                  <c:v>2.8164000000000002E-2</c:v>
                </c:pt>
                <c:pt idx="133">
                  <c:v>2.8257000000000001E-2</c:v>
                </c:pt>
                <c:pt idx="134">
                  <c:v>2.9101999999999999E-2</c:v>
                </c:pt>
                <c:pt idx="135">
                  <c:v>2.9853000000000001E-2</c:v>
                </c:pt>
                <c:pt idx="136">
                  <c:v>2.929E-2</c:v>
                </c:pt>
                <c:pt idx="137">
                  <c:v>3.0228999999999999E-2</c:v>
                </c:pt>
                <c:pt idx="138">
                  <c:v>3.0511E-2</c:v>
                </c:pt>
                <c:pt idx="139">
                  <c:v>3.1636999999999998E-2</c:v>
                </c:pt>
                <c:pt idx="140">
                  <c:v>3.0603999999999999E-2</c:v>
                </c:pt>
                <c:pt idx="141">
                  <c:v>3.0322999999999999E-2</c:v>
                </c:pt>
                <c:pt idx="142">
                  <c:v>3.1074000000000001E-2</c:v>
                </c:pt>
                <c:pt idx="143">
                  <c:v>3.0511E-2</c:v>
                </c:pt>
                <c:pt idx="144">
                  <c:v>3.0792E-2</c:v>
                </c:pt>
                <c:pt idx="145">
                  <c:v>3.1543000000000002E-2</c:v>
                </c:pt>
                <c:pt idx="146">
                  <c:v>3.1448999999999998E-2</c:v>
                </c:pt>
                <c:pt idx="147">
                  <c:v>3.1731000000000002E-2</c:v>
                </c:pt>
                <c:pt idx="148">
                  <c:v>3.1636999999999998E-2</c:v>
                </c:pt>
                <c:pt idx="149">
                  <c:v>3.2106000000000003E-2</c:v>
                </c:pt>
                <c:pt idx="150">
                  <c:v>3.2013E-2</c:v>
                </c:pt>
                <c:pt idx="151">
                  <c:v>3.1824999999999999E-2</c:v>
                </c:pt>
                <c:pt idx="152">
                  <c:v>3.2388E-2</c:v>
                </c:pt>
                <c:pt idx="153">
                  <c:v>3.2294000000000003E-2</c:v>
                </c:pt>
                <c:pt idx="154">
                  <c:v>3.3232999999999999E-2</c:v>
                </c:pt>
                <c:pt idx="155">
                  <c:v>3.2669999999999998E-2</c:v>
                </c:pt>
                <c:pt idx="156">
                  <c:v>3.2764000000000001E-2</c:v>
                </c:pt>
                <c:pt idx="157">
                  <c:v>3.2856999999999997E-2</c:v>
                </c:pt>
                <c:pt idx="158">
                  <c:v>3.3044999999999998E-2</c:v>
                </c:pt>
                <c:pt idx="159">
                  <c:v>3.2951000000000001E-2</c:v>
                </c:pt>
                <c:pt idx="160">
                  <c:v>3.2388E-2</c:v>
                </c:pt>
                <c:pt idx="161">
                  <c:v>3.2576000000000001E-2</c:v>
                </c:pt>
                <c:pt idx="162">
                  <c:v>3.2199999999999999E-2</c:v>
                </c:pt>
                <c:pt idx="163">
                  <c:v>3.1448999999999998E-2</c:v>
                </c:pt>
                <c:pt idx="164">
                  <c:v>3.1543000000000002E-2</c:v>
                </c:pt>
                <c:pt idx="165">
                  <c:v>3.2013E-2</c:v>
                </c:pt>
                <c:pt idx="166">
                  <c:v>3.5673999999999997E-2</c:v>
                </c:pt>
                <c:pt idx="167">
                  <c:v>3.5861999999999998E-2</c:v>
                </c:pt>
                <c:pt idx="168">
                  <c:v>3.6449000000000002E-2</c:v>
                </c:pt>
                <c:pt idx="169">
                  <c:v>3.4839000000000002E-2</c:v>
                </c:pt>
                <c:pt idx="170">
                  <c:v>3.4082000000000001E-2</c:v>
                </c:pt>
                <c:pt idx="171">
                  <c:v>3.3987000000000003E-2</c:v>
                </c:pt>
                <c:pt idx="172">
                  <c:v>3.3607999999999999E-2</c:v>
                </c:pt>
                <c:pt idx="173">
                  <c:v>3.3702999999999997E-2</c:v>
                </c:pt>
                <c:pt idx="174">
                  <c:v>3.3702999999999997E-2</c:v>
                </c:pt>
                <c:pt idx="175">
                  <c:v>3.3607999999999999E-2</c:v>
                </c:pt>
                <c:pt idx="176">
                  <c:v>3.4839000000000002E-2</c:v>
                </c:pt>
                <c:pt idx="177">
                  <c:v>3.3987000000000003E-2</c:v>
                </c:pt>
                <c:pt idx="178">
                  <c:v>3.4271000000000003E-2</c:v>
                </c:pt>
                <c:pt idx="179">
                  <c:v>3.304E-2</c:v>
                </c:pt>
                <c:pt idx="180">
                  <c:v>3.3323999999999999E-2</c:v>
                </c:pt>
                <c:pt idx="181">
                  <c:v>3.3230000000000003E-2</c:v>
                </c:pt>
                <c:pt idx="182">
                  <c:v>3.3607999999999999E-2</c:v>
                </c:pt>
                <c:pt idx="183">
                  <c:v>3.304E-2</c:v>
                </c:pt>
                <c:pt idx="184">
                  <c:v>3.3418999999999997E-2</c:v>
                </c:pt>
                <c:pt idx="185">
                  <c:v>3.3891999999999999E-2</c:v>
                </c:pt>
                <c:pt idx="186">
                  <c:v>3.3514000000000002E-2</c:v>
                </c:pt>
                <c:pt idx="187">
                  <c:v>3.3418999999999997E-2</c:v>
                </c:pt>
                <c:pt idx="188">
                  <c:v>3.3798000000000002E-2</c:v>
                </c:pt>
                <c:pt idx="189">
                  <c:v>3.3702999999999997E-2</c:v>
                </c:pt>
                <c:pt idx="190">
                  <c:v>3.3418999999999997E-2</c:v>
                </c:pt>
                <c:pt idx="191">
                  <c:v>3.3702999999999997E-2</c:v>
                </c:pt>
                <c:pt idx="192">
                  <c:v>3.4175999999999998E-2</c:v>
                </c:pt>
                <c:pt idx="193">
                  <c:v>3.3323999999999999E-2</c:v>
                </c:pt>
                <c:pt idx="194">
                  <c:v>3.4743999999999997E-2</c:v>
                </c:pt>
                <c:pt idx="195">
                  <c:v>3.5027999999999997E-2</c:v>
                </c:pt>
                <c:pt idx="196">
                  <c:v>3.4271000000000003E-2</c:v>
                </c:pt>
                <c:pt idx="197">
                  <c:v>3.4366000000000001E-2</c:v>
                </c:pt>
                <c:pt idx="198">
                  <c:v>3.465E-2</c:v>
                </c:pt>
                <c:pt idx="199">
                  <c:v>3.4743999999999997E-2</c:v>
                </c:pt>
                <c:pt idx="200">
                  <c:v>3.465E-2</c:v>
                </c:pt>
                <c:pt idx="201">
                  <c:v>3.4934E-2</c:v>
                </c:pt>
                <c:pt idx="202">
                  <c:v>3.2946000000000003E-2</c:v>
                </c:pt>
                <c:pt idx="203">
                  <c:v>3.3323999999999999E-2</c:v>
                </c:pt>
                <c:pt idx="204">
                  <c:v>3.3987000000000003E-2</c:v>
                </c:pt>
                <c:pt idx="205">
                  <c:v>3.3891999999999999E-2</c:v>
                </c:pt>
                <c:pt idx="206">
                  <c:v>3.3891999999999999E-2</c:v>
                </c:pt>
                <c:pt idx="207">
                  <c:v>3.3323999999999999E-2</c:v>
                </c:pt>
                <c:pt idx="208">
                  <c:v>3.3514000000000002E-2</c:v>
                </c:pt>
                <c:pt idx="209">
                  <c:v>3.4082000000000001E-2</c:v>
                </c:pt>
                <c:pt idx="210">
                  <c:v>3.3514000000000002E-2</c:v>
                </c:pt>
                <c:pt idx="211">
                  <c:v>3.3134999999999998E-2</c:v>
                </c:pt>
                <c:pt idx="212">
                  <c:v>3.3134999999999998E-2</c:v>
                </c:pt>
                <c:pt idx="213">
                  <c:v>3.3891999999999999E-2</c:v>
                </c:pt>
                <c:pt idx="214">
                  <c:v>3.3418999999999997E-2</c:v>
                </c:pt>
                <c:pt idx="215">
                  <c:v>3.304E-2</c:v>
                </c:pt>
                <c:pt idx="216">
                  <c:v>3.2946000000000003E-2</c:v>
                </c:pt>
                <c:pt idx="217">
                  <c:v>3.3134999999999998E-2</c:v>
                </c:pt>
                <c:pt idx="218">
                  <c:v>3.2377999999999997E-2</c:v>
                </c:pt>
                <c:pt idx="219">
                  <c:v>3.2377999999999997E-2</c:v>
                </c:pt>
                <c:pt idx="220">
                  <c:v>3.1525999999999998E-2</c:v>
                </c:pt>
                <c:pt idx="221">
                  <c:v>3.1241999999999999E-2</c:v>
                </c:pt>
                <c:pt idx="222">
                  <c:v>3.1525999999999998E-2</c:v>
                </c:pt>
                <c:pt idx="223">
                  <c:v>3.1525999999999998E-2</c:v>
                </c:pt>
                <c:pt idx="224">
                  <c:v>3.2661999999999997E-2</c:v>
                </c:pt>
                <c:pt idx="225">
                  <c:v>3.3323999999999999E-2</c:v>
                </c:pt>
                <c:pt idx="226">
                  <c:v>3.5366000000000002E-2</c:v>
                </c:pt>
                <c:pt idx="227">
                  <c:v>3.5270000000000003E-2</c:v>
                </c:pt>
                <c:pt idx="228">
                  <c:v>3.4981999999999999E-2</c:v>
                </c:pt>
                <c:pt idx="229">
                  <c:v>3.4887000000000001E-2</c:v>
                </c:pt>
                <c:pt idx="230">
                  <c:v>3.4981999999999999E-2</c:v>
                </c:pt>
                <c:pt idx="231">
                  <c:v>3.5270000000000003E-2</c:v>
                </c:pt>
                <c:pt idx="232">
                  <c:v>3.4981999999999999E-2</c:v>
                </c:pt>
                <c:pt idx="233">
                  <c:v>3.4981999999999999E-2</c:v>
                </c:pt>
                <c:pt idx="234">
                  <c:v>3.5173999999999997E-2</c:v>
                </c:pt>
                <c:pt idx="235">
                  <c:v>3.5366000000000002E-2</c:v>
                </c:pt>
                <c:pt idx="236">
                  <c:v>3.5652999999999997E-2</c:v>
                </c:pt>
                <c:pt idx="237">
                  <c:v>3.5845000000000002E-2</c:v>
                </c:pt>
                <c:pt idx="238">
                  <c:v>3.5749000000000003E-2</c:v>
                </c:pt>
                <c:pt idx="239">
                  <c:v>3.5652999999999997E-2</c:v>
                </c:pt>
                <c:pt idx="240">
                  <c:v>3.5652999999999997E-2</c:v>
                </c:pt>
                <c:pt idx="241">
                  <c:v>3.6324000000000002E-2</c:v>
                </c:pt>
                <c:pt idx="242">
                  <c:v>3.7665999999999998E-2</c:v>
                </c:pt>
                <c:pt idx="243">
                  <c:v>3.7090999999999999E-2</c:v>
                </c:pt>
                <c:pt idx="244">
                  <c:v>3.7186999999999998E-2</c:v>
                </c:pt>
                <c:pt idx="245">
                  <c:v>3.7474E-2</c:v>
                </c:pt>
                <c:pt idx="246">
                  <c:v>3.6516E-2</c:v>
                </c:pt>
                <c:pt idx="247">
                  <c:v>3.6803000000000002E-2</c:v>
                </c:pt>
                <c:pt idx="248">
                  <c:v>3.7858000000000003E-2</c:v>
                </c:pt>
                <c:pt idx="249">
                  <c:v>3.6899000000000001E-2</c:v>
                </c:pt>
                <c:pt idx="250">
                  <c:v>3.6899000000000001E-2</c:v>
                </c:pt>
              </c:numCache>
            </c:numRef>
          </c:val>
          <c:smooth val="0"/>
          <c:extLst>
            <c:ext xmlns:c16="http://schemas.microsoft.com/office/drawing/2014/chart" uri="{C3380CC4-5D6E-409C-BE32-E72D297353CC}">
              <c16:uniqueId val="{0000000A-7F0D-4D4B-A64C-CDFE76AE6D25}"/>
            </c:ext>
          </c:extLst>
        </c:ser>
        <c:ser>
          <c:idx val="6"/>
          <c:order val="6"/>
          <c:tx>
            <c:strRef>
              <c:f>Data_From_Collab!$H$1</c:f>
              <c:strCache>
                <c:ptCount val="1"/>
                <c:pt idx="0">
                  <c:v>NVDA</c:v>
                </c:pt>
              </c:strCache>
            </c:strRef>
          </c:tx>
          <c:spPr>
            <a:ln w="28575" cap="rnd">
              <a:solidFill>
                <a:schemeClr val="accent1">
                  <a:lumMod val="60000"/>
                </a:schemeClr>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Data_From_Collab!$H$2:$H$252</c:f>
              <c:numCache>
                <c:formatCode>General</c:formatCode>
                <c:ptCount val="251"/>
                <c:pt idx="0">
                  <c:v>0.38911499999999999</c:v>
                </c:pt>
                <c:pt idx="1">
                  <c:v>0.40075499999999997</c:v>
                </c:pt>
                <c:pt idx="2">
                  <c:v>0.37800499999999998</c:v>
                </c:pt>
                <c:pt idx="3">
                  <c:v>0.39734799999999998</c:v>
                </c:pt>
                <c:pt idx="4">
                  <c:v>0.39292199999999999</c:v>
                </c:pt>
                <c:pt idx="5">
                  <c:v>0.39136399999999999</c:v>
                </c:pt>
                <c:pt idx="6">
                  <c:v>0.38619799999999999</c:v>
                </c:pt>
                <c:pt idx="7">
                  <c:v>0.37445699999999998</c:v>
                </c:pt>
                <c:pt idx="8">
                  <c:v>0.384799</c:v>
                </c:pt>
                <c:pt idx="9">
                  <c:v>0.38739699999999999</c:v>
                </c:pt>
                <c:pt idx="10">
                  <c:v>0.39451199999999997</c:v>
                </c:pt>
                <c:pt idx="11">
                  <c:v>0.40989999999999999</c:v>
                </c:pt>
                <c:pt idx="12">
                  <c:v>0.42963400000000002</c:v>
                </c:pt>
                <c:pt idx="13">
                  <c:v>0.42619699999999999</c:v>
                </c:pt>
                <c:pt idx="14">
                  <c:v>0.42658699999999999</c:v>
                </c:pt>
                <c:pt idx="15">
                  <c:v>0.43773800000000002</c:v>
                </c:pt>
                <c:pt idx="16">
                  <c:v>0.430114</c:v>
                </c:pt>
                <c:pt idx="17">
                  <c:v>0.42991400000000002</c:v>
                </c:pt>
                <c:pt idx="18">
                  <c:v>0.42176000000000002</c:v>
                </c:pt>
                <c:pt idx="19">
                  <c:v>0.406003</c:v>
                </c:pt>
                <c:pt idx="20">
                  <c:v>0.418433</c:v>
                </c:pt>
                <c:pt idx="21">
                  <c:v>0.41084900000000002</c:v>
                </c:pt>
                <c:pt idx="22">
                  <c:v>0.40790100000000001</c:v>
                </c:pt>
                <c:pt idx="23">
                  <c:v>0.42269000000000001</c:v>
                </c:pt>
                <c:pt idx="24">
                  <c:v>0.42379899999999998</c:v>
                </c:pt>
                <c:pt idx="25">
                  <c:v>0.42283999999999999</c:v>
                </c:pt>
                <c:pt idx="26">
                  <c:v>0.42070099999999999</c:v>
                </c:pt>
                <c:pt idx="27">
                  <c:v>0.42469800000000002</c:v>
                </c:pt>
                <c:pt idx="28">
                  <c:v>0.42147099999999998</c:v>
                </c:pt>
                <c:pt idx="29">
                  <c:v>0.42371900000000001</c:v>
                </c:pt>
                <c:pt idx="30">
                  <c:v>0.43867699999999998</c:v>
                </c:pt>
                <c:pt idx="31">
                  <c:v>0.45941100000000001</c:v>
                </c:pt>
                <c:pt idx="32">
                  <c:v>0.45433499999999999</c:v>
                </c:pt>
                <c:pt idx="33">
                  <c:v>0.46424700000000002</c:v>
                </c:pt>
                <c:pt idx="34">
                  <c:v>0.47456900000000002</c:v>
                </c:pt>
                <c:pt idx="35">
                  <c:v>0.47040199999999999</c:v>
                </c:pt>
                <c:pt idx="36">
                  <c:v>0.45484400000000003</c:v>
                </c:pt>
                <c:pt idx="37">
                  <c:v>0.44274400000000003</c:v>
                </c:pt>
                <c:pt idx="38">
                  <c:v>0.445772</c:v>
                </c:pt>
                <c:pt idx="39">
                  <c:v>0.45643299999999998</c:v>
                </c:pt>
                <c:pt idx="40">
                  <c:v>0.45416499999999999</c:v>
                </c:pt>
                <c:pt idx="41">
                  <c:v>0.45864199999999999</c:v>
                </c:pt>
                <c:pt idx="42">
                  <c:v>0.46713500000000002</c:v>
                </c:pt>
                <c:pt idx="43">
                  <c:v>0.46692499999999998</c:v>
                </c:pt>
                <c:pt idx="44">
                  <c:v>0.46470699999999998</c:v>
                </c:pt>
                <c:pt idx="45">
                  <c:v>0.44234400000000001</c:v>
                </c:pt>
                <c:pt idx="46">
                  <c:v>0.44480199999999998</c:v>
                </c:pt>
                <c:pt idx="47">
                  <c:v>0.44645099999999999</c:v>
                </c:pt>
                <c:pt idx="48">
                  <c:v>0.45381500000000002</c:v>
                </c:pt>
                <c:pt idx="49">
                  <c:v>0.44629099999999999</c:v>
                </c:pt>
                <c:pt idx="50">
                  <c:v>0.42520799999999997</c:v>
                </c:pt>
                <c:pt idx="51">
                  <c:v>0.42354900000000001</c:v>
                </c:pt>
                <c:pt idx="52">
                  <c:v>0.40823100000000001</c:v>
                </c:pt>
                <c:pt idx="53">
                  <c:v>0.43718800000000002</c:v>
                </c:pt>
                <c:pt idx="54">
                  <c:v>0.43905699999999998</c:v>
                </c:pt>
                <c:pt idx="55">
                  <c:v>0.43452000000000002</c:v>
                </c:pt>
                <c:pt idx="56">
                  <c:v>0.43310100000000001</c:v>
                </c:pt>
                <c:pt idx="57">
                  <c:v>0.43265199999999998</c:v>
                </c:pt>
                <c:pt idx="58">
                  <c:v>0.46930300000000003</c:v>
                </c:pt>
                <c:pt idx="59">
                  <c:v>0.45632299999999998</c:v>
                </c:pt>
                <c:pt idx="60">
                  <c:v>0.47079199999999999</c:v>
                </c:pt>
                <c:pt idx="61">
                  <c:v>0.47126200000000001</c:v>
                </c:pt>
                <c:pt idx="62">
                  <c:v>0.45982099999999998</c:v>
                </c:pt>
                <c:pt idx="63">
                  <c:v>0.46798400000000001</c:v>
                </c:pt>
                <c:pt idx="64">
                  <c:v>0.48745899999999998</c:v>
                </c:pt>
                <c:pt idx="65">
                  <c:v>0.492255</c:v>
                </c:pt>
                <c:pt idx="66">
                  <c:v>0.49316399999999999</c:v>
                </c:pt>
                <c:pt idx="67">
                  <c:v>0.484711</c:v>
                </c:pt>
                <c:pt idx="68">
                  <c:v>0.485101</c:v>
                </c:pt>
                <c:pt idx="69">
                  <c:v>0.470281</c:v>
                </c:pt>
                <c:pt idx="70">
                  <c:v>0.46208700000000003</c:v>
                </c:pt>
                <c:pt idx="71">
                  <c:v>0.45540199999999997</c:v>
                </c:pt>
                <c:pt idx="72">
                  <c:v>0.45146399999999998</c:v>
                </c:pt>
                <c:pt idx="73">
                  <c:v>0.44838600000000001</c:v>
                </c:pt>
                <c:pt idx="74">
                  <c:v>0.45453199999999999</c:v>
                </c:pt>
                <c:pt idx="75">
                  <c:v>0.45549200000000001</c:v>
                </c:pt>
                <c:pt idx="76">
                  <c:v>0.438693</c:v>
                </c:pt>
                <c:pt idx="77">
                  <c:v>0.43935299999999999</c:v>
                </c:pt>
                <c:pt idx="78">
                  <c:v>0.434896</c:v>
                </c:pt>
                <c:pt idx="79">
                  <c:v>0.422095</c:v>
                </c:pt>
                <c:pt idx="80">
                  <c:v>0.409883</c:v>
                </c:pt>
                <c:pt idx="81">
                  <c:v>0.41580899999999998</c:v>
                </c:pt>
                <c:pt idx="82">
                  <c:v>0.42192499999999999</c:v>
                </c:pt>
                <c:pt idx="83">
                  <c:v>0.41881699999999999</c:v>
                </c:pt>
                <c:pt idx="84">
                  <c:v>0.42438300000000001</c:v>
                </c:pt>
                <c:pt idx="85">
                  <c:v>0.430589</c:v>
                </c:pt>
                <c:pt idx="86">
                  <c:v>0.43468600000000002</c:v>
                </c:pt>
                <c:pt idx="87">
                  <c:v>0.44750699999999999</c:v>
                </c:pt>
                <c:pt idx="88">
                  <c:v>0.43486599999999997</c:v>
                </c:pt>
                <c:pt idx="89">
                  <c:v>0.44010199999999999</c:v>
                </c:pt>
                <c:pt idx="90">
                  <c:v>0.44656800000000002</c:v>
                </c:pt>
                <c:pt idx="91">
                  <c:v>0.45729999999999998</c:v>
                </c:pt>
                <c:pt idx="92">
                  <c:v>0.45241399999999998</c:v>
                </c:pt>
                <c:pt idx="93">
                  <c:v>0.45766000000000001</c:v>
                </c:pt>
                <c:pt idx="94">
                  <c:v>0.46773300000000001</c:v>
                </c:pt>
                <c:pt idx="95">
                  <c:v>0.46912199999999998</c:v>
                </c:pt>
                <c:pt idx="96">
                  <c:v>0.45429199999999997</c:v>
                </c:pt>
                <c:pt idx="97">
                  <c:v>0.46062799999999998</c:v>
                </c:pt>
                <c:pt idx="98">
                  <c:v>0.43907299999999999</c:v>
                </c:pt>
                <c:pt idx="99">
                  <c:v>0.42166500000000001</c:v>
                </c:pt>
                <c:pt idx="100">
                  <c:v>0.42071599999999998</c:v>
                </c:pt>
                <c:pt idx="101">
                  <c:v>0.41358099999999998</c:v>
                </c:pt>
                <c:pt idx="102">
                  <c:v>0.42945</c:v>
                </c:pt>
                <c:pt idx="103">
                  <c:v>0.43632500000000002</c:v>
                </c:pt>
                <c:pt idx="104">
                  <c:v>0.41749799999999998</c:v>
                </c:pt>
                <c:pt idx="105">
                  <c:v>0.402978</c:v>
                </c:pt>
                <c:pt idx="106">
                  <c:v>0.40471699999999999</c:v>
                </c:pt>
                <c:pt idx="107">
                  <c:v>0.41132200000000002</c:v>
                </c:pt>
                <c:pt idx="108">
                  <c:v>0.40751500000000002</c:v>
                </c:pt>
                <c:pt idx="109">
                  <c:v>0.422954</c:v>
                </c:pt>
                <c:pt idx="110">
                  <c:v>0.43475599999999998</c:v>
                </c:pt>
                <c:pt idx="111">
                  <c:v>0.449735</c:v>
                </c:pt>
                <c:pt idx="112">
                  <c:v>0.45718999999999999</c:v>
                </c:pt>
                <c:pt idx="113">
                  <c:v>0.459229</c:v>
                </c:pt>
                <c:pt idx="114">
                  <c:v>0.46541500000000002</c:v>
                </c:pt>
                <c:pt idx="115">
                  <c:v>0.46917199999999998</c:v>
                </c:pt>
                <c:pt idx="116">
                  <c:v>0.483012</c:v>
                </c:pt>
                <c:pt idx="117">
                  <c:v>0.48586000000000001</c:v>
                </c:pt>
                <c:pt idx="118">
                  <c:v>0.49621300000000002</c:v>
                </c:pt>
                <c:pt idx="119">
                  <c:v>0.48853799999999997</c:v>
                </c:pt>
                <c:pt idx="120">
                  <c:v>0.494454</c:v>
                </c:pt>
                <c:pt idx="121">
                  <c:v>0.49263600000000002</c:v>
                </c:pt>
                <c:pt idx="122">
                  <c:v>0.50373800000000002</c:v>
                </c:pt>
                <c:pt idx="123">
                  <c:v>0.49909100000000001</c:v>
                </c:pt>
                <c:pt idx="124">
                  <c:v>0.48681999999999997</c:v>
                </c:pt>
                <c:pt idx="125">
                  <c:v>0.47742600000000002</c:v>
                </c:pt>
                <c:pt idx="126">
                  <c:v>0.48208299999999998</c:v>
                </c:pt>
                <c:pt idx="127">
                  <c:v>0.47787600000000002</c:v>
                </c:pt>
                <c:pt idx="128">
                  <c:v>0.48106399999999999</c:v>
                </c:pt>
                <c:pt idx="129">
                  <c:v>0.46737299999999998</c:v>
                </c:pt>
                <c:pt idx="130">
                  <c:v>0.46732299999999999</c:v>
                </c:pt>
                <c:pt idx="131">
                  <c:v>0.45478200000000002</c:v>
                </c:pt>
                <c:pt idx="132">
                  <c:v>0.46537600000000001</c:v>
                </c:pt>
                <c:pt idx="133">
                  <c:v>0.45475199999999999</c:v>
                </c:pt>
                <c:pt idx="134">
                  <c:v>0.46567500000000001</c:v>
                </c:pt>
                <c:pt idx="135">
                  <c:v>0.47477000000000003</c:v>
                </c:pt>
                <c:pt idx="136">
                  <c:v>0.46598499999999998</c:v>
                </c:pt>
                <c:pt idx="137">
                  <c:v>0.47627900000000001</c:v>
                </c:pt>
                <c:pt idx="138">
                  <c:v>0.48058600000000001</c:v>
                </c:pt>
                <c:pt idx="139">
                  <c:v>0.483205</c:v>
                </c:pt>
                <c:pt idx="140">
                  <c:v>0.48860100000000001</c:v>
                </c:pt>
                <c:pt idx="141">
                  <c:v>0.50046400000000002</c:v>
                </c:pt>
                <c:pt idx="142">
                  <c:v>0.49573699999999998</c:v>
                </c:pt>
                <c:pt idx="143">
                  <c:v>0.48081600000000002</c:v>
                </c:pt>
                <c:pt idx="144">
                  <c:v>0.48960100000000001</c:v>
                </c:pt>
                <c:pt idx="145">
                  <c:v>0.48800199999999999</c:v>
                </c:pt>
                <c:pt idx="146">
                  <c:v>0.49248900000000001</c:v>
                </c:pt>
                <c:pt idx="147">
                  <c:v>0.49386799999999997</c:v>
                </c:pt>
                <c:pt idx="148">
                  <c:v>0.494917</c:v>
                </c:pt>
                <c:pt idx="149">
                  <c:v>0.494917</c:v>
                </c:pt>
                <c:pt idx="150">
                  <c:v>0.48138599999999998</c:v>
                </c:pt>
                <c:pt idx="151">
                  <c:v>0.47539900000000002</c:v>
                </c:pt>
                <c:pt idx="152">
                  <c:v>0.47968699999999997</c:v>
                </c:pt>
                <c:pt idx="153">
                  <c:v>0.49067</c:v>
                </c:pt>
                <c:pt idx="154">
                  <c:v>0.52221099999999998</c:v>
                </c:pt>
                <c:pt idx="155">
                  <c:v>0.53107499999999996</c:v>
                </c:pt>
                <c:pt idx="156">
                  <c:v>0.54316799999999998</c:v>
                </c:pt>
                <c:pt idx="157">
                  <c:v>0.54788499999999996</c:v>
                </c:pt>
                <c:pt idx="158">
                  <c:v>0.54676599999999997</c:v>
                </c:pt>
                <c:pt idx="159">
                  <c:v>0.56347599999999998</c:v>
                </c:pt>
                <c:pt idx="160">
                  <c:v>0.56018800000000002</c:v>
                </c:pt>
                <c:pt idx="161">
                  <c:v>0.57072100000000003</c:v>
                </c:pt>
                <c:pt idx="162">
                  <c:v>0.59454700000000005</c:v>
                </c:pt>
                <c:pt idx="163">
                  <c:v>0.59617600000000004</c:v>
                </c:pt>
                <c:pt idx="164">
                  <c:v>0.59836400000000001</c:v>
                </c:pt>
                <c:pt idx="165">
                  <c:v>0.61324500000000004</c:v>
                </c:pt>
                <c:pt idx="166">
                  <c:v>0.61579399999999995</c:v>
                </c:pt>
                <c:pt idx="167">
                  <c:v>0.60993699999999995</c:v>
                </c:pt>
                <c:pt idx="168">
                  <c:v>0.62426800000000005</c:v>
                </c:pt>
                <c:pt idx="169">
                  <c:v>0.62735600000000002</c:v>
                </c:pt>
                <c:pt idx="170">
                  <c:v>0.61489400000000005</c:v>
                </c:pt>
                <c:pt idx="171">
                  <c:v>0.62988500000000003</c:v>
                </c:pt>
                <c:pt idx="172">
                  <c:v>0.66119600000000001</c:v>
                </c:pt>
                <c:pt idx="173">
                  <c:v>0.69289599999999996</c:v>
                </c:pt>
                <c:pt idx="174">
                  <c:v>0.681813</c:v>
                </c:pt>
                <c:pt idx="175">
                  <c:v>0.70056200000000002</c:v>
                </c:pt>
                <c:pt idx="176">
                  <c:v>0.69598400000000005</c:v>
                </c:pt>
                <c:pt idx="177">
                  <c:v>0.72089000000000003</c:v>
                </c:pt>
                <c:pt idx="178">
                  <c:v>0.72203899999999999</c:v>
                </c:pt>
                <c:pt idx="179">
                  <c:v>0.72083900000000001</c:v>
                </c:pt>
                <c:pt idx="180">
                  <c:v>0.73854900000000001</c:v>
                </c:pt>
                <c:pt idx="181">
                  <c:v>0.726136</c:v>
                </c:pt>
                <c:pt idx="182">
                  <c:v>0.72568600000000005</c:v>
                </c:pt>
                <c:pt idx="183">
                  <c:v>0.69409600000000005</c:v>
                </c:pt>
                <c:pt idx="184">
                  <c:v>0.67430800000000002</c:v>
                </c:pt>
                <c:pt idx="185">
                  <c:v>0.78490000000000004</c:v>
                </c:pt>
                <c:pt idx="186">
                  <c:v>0.78768899999999997</c:v>
                </c:pt>
                <c:pt idx="187">
                  <c:v>0.79043699999999995</c:v>
                </c:pt>
                <c:pt idx="188">
                  <c:v>0.78652900000000003</c:v>
                </c:pt>
                <c:pt idx="189">
                  <c:v>0.77615599999999996</c:v>
                </c:pt>
                <c:pt idx="190">
                  <c:v>0.79063700000000003</c:v>
                </c:pt>
                <c:pt idx="191">
                  <c:v>0.82228699999999999</c:v>
                </c:pt>
                <c:pt idx="192">
                  <c:v>0.85184899999999997</c:v>
                </c:pt>
                <c:pt idx="193">
                  <c:v>0.859155</c:v>
                </c:pt>
                <c:pt idx="194">
                  <c:v>0.88649999999999995</c:v>
                </c:pt>
                <c:pt idx="195">
                  <c:v>0.92616699999999996</c:v>
                </c:pt>
                <c:pt idx="196">
                  <c:v>0.87478599999999995</c:v>
                </c:pt>
                <c:pt idx="197">
                  <c:v>0.85725600000000002</c:v>
                </c:pt>
                <c:pt idx="198">
                  <c:v>0.91861199999999998</c:v>
                </c:pt>
                <c:pt idx="199">
                  <c:v>0.90836700000000004</c:v>
                </c:pt>
                <c:pt idx="200">
                  <c:v>0.87894399999999995</c:v>
                </c:pt>
                <c:pt idx="201">
                  <c:v>0.87787499999999996</c:v>
                </c:pt>
                <c:pt idx="202">
                  <c:v>0.88405100000000003</c:v>
                </c:pt>
                <c:pt idx="203">
                  <c:v>0.89347600000000005</c:v>
                </c:pt>
                <c:pt idx="204">
                  <c:v>0.90320999999999996</c:v>
                </c:pt>
                <c:pt idx="205">
                  <c:v>0.91383400000000004</c:v>
                </c:pt>
                <c:pt idx="206">
                  <c:v>0.94235800000000003</c:v>
                </c:pt>
                <c:pt idx="207">
                  <c:v>0.94948399999999999</c:v>
                </c:pt>
                <c:pt idx="208">
                  <c:v>0.92508800000000002</c:v>
                </c:pt>
                <c:pt idx="209">
                  <c:v>0.90199099999999999</c:v>
                </c:pt>
                <c:pt idx="210">
                  <c:v>0.90305000000000002</c:v>
                </c:pt>
                <c:pt idx="211">
                  <c:v>0.90312000000000003</c:v>
                </c:pt>
                <c:pt idx="212">
                  <c:v>0.89401600000000003</c:v>
                </c:pt>
                <c:pt idx="213">
                  <c:v>0.88913799999999998</c:v>
                </c:pt>
                <c:pt idx="214">
                  <c:v>0.85856500000000002</c:v>
                </c:pt>
                <c:pt idx="215">
                  <c:v>0.87958400000000003</c:v>
                </c:pt>
                <c:pt idx="216">
                  <c:v>0.87083900000000003</c:v>
                </c:pt>
                <c:pt idx="217">
                  <c:v>0.85305799999999998</c:v>
                </c:pt>
                <c:pt idx="218">
                  <c:v>0.86989899999999998</c:v>
                </c:pt>
                <c:pt idx="219">
                  <c:v>0.90564900000000004</c:v>
                </c:pt>
                <c:pt idx="220">
                  <c:v>0.88136300000000001</c:v>
                </c:pt>
                <c:pt idx="221">
                  <c:v>0.85952499999999998</c:v>
                </c:pt>
                <c:pt idx="222">
                  <c:v>0.87365700000000002</c:v>
                </c:pt>
                <c:pt idx="223">
                  <c:v>0.83987599999999996</c:v>
                </c:pt>
                <c:pt idx="224">
                  <c:v>0.84623199999999998</c:v>
                </c:pt>
                <c:pt idx="225">
                  <c:v>0.76156999999999997</c:v>
                </c:pt>
                <c:pt idx="226">
                  <c:v>0.79473099999999997</c:v>
                </c:pt>
                <c:pt idx="227">
                  <c:v>0.82376499999999997</c:v>
                </c:pt>
                <c:pt idx="228">
                  <c:v>0.79632099999999995</c:v>
                </c:pt>
                <c:pt idx="229">
                  <c:v>0.82585399999999998</c:v>
                </c:pt>
                <c:pt idx="230">
                  <c:v>0.87685500000000005</c:v>
                </c:pt>
                <c:pt idx="231">
                  <c:v>0.87707500000000005</c:v>
                </c:pt>
                <c:pt idx="232">
                  <c:v>0.863533</c:v>
                </c:pt>
                <c:pt idx="233">
                  <c:v>0.82994100000000004</c:v>
                </c:pt>
                <c:pt idx="234">
                  <c:v>0.85768599999999995</c:v>
                </c:pt>
                <c:pt idx="235">
                  <c:v>0.88738899999999998</c:v>
                </c:pt>
                <c:pt idx="236">
                  <c:v>0.92088000000000003</c:v>
                </c:pt>
                <c:pt idx="237">
                  <c:v>0.90502899999999997</c:v>
                </c:pt>
                <c:pt idx="238">
                  <c:v>0.90361000000000002</c:v>
                </c:pt>
                <c:pt idx="239">
                  <c:v>0.88697000000000004</c:v>
                </c:pt>
                <c:pt idx="240">
                  <c:v>0.89827299999999999</c:v>
                </c:pt>
                <c:pt idx="241">
                  <c:v>0.90347999999999995</c:v>
                </c:pt>
                <c:pt idx="242">
                  <c:v>0.913045</c:v>
                </c:pt>
                <c:pt idx="243">
                  <c:v>0.945766</c:v>
                </c:pt>
                <c:pt idx="244">
                  <c:v>0.94305799999999995</c:v>
                </c:pt>
                <c:pt idx="245">
                  <c:v>0.92426799999999998</c:v>
                </c:pt>
                <c:pt idx="246">
                  <c:v>0.94726600000000005</c:v>
                </c:pt>
                <c:pt idx="247">
                  <c:v>0.953322</c:v>
                </c:pt>
                <c:pt idx="248">
                  <c:v>0.94896400000000003</c:v>
                </c:pt>
                <c:pt idx="249">
                  <c:v>1.0374049999999999</c:v>
                </c:pt>
                <c:pt idx="250">
                  <c:v>1.06409</c:v>
                </c:pt>
              </c:numCache>
            </c:numRef>
          </c:val>
          <c:smooth val="0"/>
          <c:extLst>
            <c:ext xmlns:c16="http://schemas.microsoft.com/office/drawing/2014/chart" uri="{C3380CC4-5D6E-409C-BE32-E72D297353CC}">
              <c16:uniqueId val="{0000000C-7F0D-4D4B-A64C-CDFE76AE6D25}"/>
            </c:ext>
          </c:extLst>
        </c:ser>
        <c:ser>
          <c:idx val="7"/>
          <c:order val="7"/>
          <c:tx>
            <c:strRef>
              <c:f>Data_From_Collab!$I$1</c:f>
              <c:strCache>
                <c:ptCount val="1"/>
                <c:pt idx="0">
                  <c:v>RIG</c:v>
                </c:pt>
              </c:strCache>
            </c:strRef>
          </c:tx>
          <c:spPr>
            <a:ln w="28575" cap="rnd">
              <a:solidFill>
                <a:schemeClr val="accent2">
                  <a:lumMod val="60000"/>
                </a:schemeClr>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Data_From_Collab!$I$2:$I$252</c:f>
              <c:numCache>
                <c:formatCode>General</c:formatCode>
                <c:ptCount val="251"/>
                <c:pt idx="0">
                  <c:v>6.2E-2</c:v>
                </c:pt>
                <c:pt idx="1">
                  <c:v>6.1100000000000002E-2</c:v>
                </c:pt>
                <c:pt idx="2">
                  <c:v>5.7200000000000001E-2</c:v>
                </c:pt>
                <c:pt idx="3">
                  <c:v>6.13E-2</c:v>
                </c:pt>
                <c:pt idx="4">
                  <c:v>6.5799999999999997E-2</c:v>
                </c:pt>
                <c:pt idx="5">
                  <c:v>6.3200000000000006E-2</c:v>
                </c:pt>
                <c:pt idx="6">
                  <c:v>6.3100000000000003E-2</c:v>
                </c:pt>
                <c:pt idx="7">
                  <c:v>6.3399999999999998E-2</c:v>
                </c:pt>
                <c:pt idx="8">
                  <c:v>6.3E-2</c:v>
                </c:pt>
                <c:pt idx="9">
                  <c:v>6.2399999999999997E-2</c:v>
                </c:pt>
                <c:pt idx="10">
                  <c:v>5.7099999999999998E-2</c:v>
                </c:pt>
                <c:pt idx="11">
                  <c:v>5.8599999999999999E-2</c:v>
                </c:pt>
                <c:pt idx="12">
                  <c:v>6.1600000000000002E-2</c:v>
                </c:pt>
                <c:pt idx="13">
                  <c:v>6.2199999999999998E-2</c:v>
                </c:pt>
                <c:pt idx="14">
                  <c:v>6.2300000000000001E-2</c:v>
                </c:pt>
                <c:pt idx="15">
                  <c:v>6.2399999999999997E-2</c:v>
                </c:pt>
                <c:pt idx="16">
                  <c:v>6.2899999999999998E-2</c:v>
                </c:pt>
                <c:pt idx="17">
                  <c:v>6.1699999999999998E-2</c:v>
                </c:pt>
                <c:pt idx="18">
                  <c:v>5.9900000000000002E-2</c:v>
                </c:pt>
                <c:pt idx="19">
                  <c:v>6.2799999999999995E-2</c:v>
                </c:pt>
                <c:pt idx="20">
                  <c:v>6.2E-2</c:v>
                </c:pt>
                <c:pt idx="21">
                  <c:v>6.0699999999999997E-2</c:v>
                </c:pt>
                <c:pt idx="22">
                  <c:v>6.4199999999999993E-2</c:v>
                </c:pt>
                <c:pt idx="23">
                  <c:v>7.0099999999999996E-2</c:v>
                </c:pt>
                <c:pt idx="24">
                  <c:v>6.9699999999999998E-2</c:v>
                </c:pt>
                <c:pt idx="25">
                  <c:v>7.3499999999999996E-2</c:v>
                </c:pt>
                <c:pt idx="26">
                  <c:v>7.2999999999999995E-2</c:v>
                </c:pt>
                <c:pt idx="27">
                  <c:v>7.7299999999999994E-2</c:v>
                </c:pt>
                <c:pt idx="28">
                  <c:v>7.9899999999999999E-2</c:v>
                </c:pt>
                <c:pt idx="29">
                  <c:v>8.2199999999999995E-2</c:v>
                </c:pt>
                <c:pt idx="30">
                  <c:v>8.0199999999999994E-2</c:v>
                </c:pt>
                <c:pt idx="31">
                  <c:v>8.0500000000000002E-2</c:v>
                </c:pt>
                <c:pt idx="32">
                  <c:v>7.8100000000000003E-2</c:v>
                </c:pt>
                <c:pt idx="33">
                  <c:v>7.9299999999999995E-2</c:v>
                </c:pt>
                <c:pt idx="34">
                  <c:v>8.4699999999999998E-2</c:v>
                </c:pt>
                <c:pt idx="35">
                  <c:v>8.2500000000000004E-2</c:v>
                </c:pt>
                <c:pt idx="36">
                  <c:v>8.1900000000000001E-2</c:v>
                </c:pt>
                <c:pt idx="37">
                  <c:v>8.1000000000000003E-2</c:v>
                </c:pt>
                <c:pt idx="38">
                  <c:v>8.5999999999999993E-2</c:v>
                </c:pt>
                <c:pt idx="39">
                  <c:v>8.5400000000000004E-2</c:v>
                </c:pt>
                <c:pt idx="40">
                  <c:v>8.4500000000000006E-2</c:v>
                </c:pt>
                <c:pt idx="41">
                  <c:v>8.2000000000000003E-2</c:v>
                </c:pt>
                <c:pt idx="42">
                  <c:v>8.5500000000000007E-2</c:v>
                </c:pt>
                <c:pt idx="43">
                  <c:v>8.7999999999999995E-2</c:v>
                </c:pt>
                <c:pt idx="44">
                  <c:v>8.3699999999999997E-2</c:v>
                </c:pt>
                <c:pt idx="45">
                  <c:v>8.4000000000000005E-2</c:v>
                </c:pt>
                <c:pt idx="46">
                  <c:v>8.5000000000000006E-2</c:v>
                </c:pt>
                <c:pt idx="47">
                  <c:v>8.4900000000000003E-2</c:v>
                </c:pt>
                <c:pt idx="48">
                  <c:v>8.1299999999999997E-2</c:v>
                </c:pt>
                <c:pt idx="49">
                  <c:v>8.2699999999999996E-2</c:v>
                </c:pt>
                <c:pt idx="50">
                  <c:v>8.3799999999999999E-2</c:v>
                </c:pt>
                <c:pt idx="51">
                  <c:v>8.4400000000000003E-2</c:v>
                </c:pt>
                <c:pt idx="52">
                  <c:v>8.5999999999999993E-2</c:v>
                </c:pt>
                <c:pt idx="53">
                  <c:v>8.3500000000000005E-2</c:v>
                </c:pt>
                <c:pt idx="54">
                  <c:v>8.1500000000000003E-2</c:v>
                </c:pt>
                <c:pt idx="55">
                  <c:v>8.1500000000000003E-2</c:v>
                </c:pt>
                <c:pt idx="56">
                  <c:v>8.0500000000000002E-2</c:v>
                </c:pt>
                <c:pt idx="57">
                  <c:v>8.2199999999999995E-2</c:v>
                </c:pt>
                <c:pt idx="58">
                  <c:v>8.1000000000000003E-2</c:v>
                </c:pt>
                <c:pt idx="59">
                  <c:v>7.8200000000000006E-2</c:v>
                </c:pt>
                <c:pt idx="60">
                  <c:v>7.8700000000000006E-2</c:v>
                </c:pt>
                <c:pt idx="61">
                  <c:v>7.6100000000000001E-2</c:v>
                </c:pt>
                <c:pt idx="62">
                  <c:v>7.7200000000000005E-2</c:v>
                </c:pt>
                <c:pt idx="63">
                  <c:v>7.7200000000000005E-2</c:v>
                </c:pt>
                <c:pt idx="64">
                  <c:v>7.9399999999999998E-2</c:v>
                </c:pt>
                <c:pt idx="65">
                  <c:v>8.1699999999999995E-2</c:v>
                </c:pt>
                <c:pt idx="66">
                  <c:v>8.1799999999999998E-2</c:v>
                </c:pt>
                <c:pt idx="67">
                  <c:v>8.4599999999999995E-2</c:v>
                </c:pt>
                <c:pt idx="68">
                  <c:v>8.1900000000000001E-2</c:v>
                </c:pt>
                <c:pt idx="69">
                  <c:v>8.1900000000000001E-2</c:v>
                </c:pt>
                <c:pt idx="70">
                  <c:v>8.0799999999999997E-2</c:v>
                </c:pt>
                <c:pt idx="71">
                  <c:v>8.1799999999999998E-2</c:v>
                </c:pt>
                <c:pt idx="72">
                  <c:v>8.1199999999999994E-2</c:v>
                </c:pt>
                <c:pt idx="73">
                  <c:v>8.6900000000000005E-2</c:v>
                </c:pt>
                <c:pt idx="74">
                  <c:v>8.2699999999999996E-2</c:v>
                </c:pt>
                <c:pt idx="75">
                  <c:v>8.6599999999999996E-2</c:v>
                </c:pt>
                <c:pt idx="76">
                  <c:v>8.3099999999999993E-2</c:v>
                </c:pt>
                <c:pt idx="77">
                  <c:v>8.3000000000000004E-2</c:v>
                </c:pt>
                <c:pt idx="78">
                  <c:v>8.0699999999999994E-2</c:v>
                </c:pt>
                <c:pt idx="79">
                  <c:v>8.1000000000000003E-2</c:v>
                </c:pt>
                <c:pt idx="80">
                  <c:v>7.9500000000000001E-2</c:v>
                </c:pt>
                <c:pt idx="81">
                  <c:v>8.14E-2</c:v>
                </c:pt>
                <c:pt idx="82">
                  <c:v>8.3799999999999999E-2</c:v>
                </c:pt>
                <c:pt idx="83">
                  <c:v>8.4199999999999997E-2</c:v>
                </c:pt>
                <c:pt idx="84">
                  <c:v>8.5599999999999996E-2</c:v>
                </c:pt>
                <c:pt idx="85">
                  <c:v>8.4199999999999997E-2</c:v>
                </c:pt>
                <c:pt idx="86">
                  <c:v>8.2100000000000006E-2</c:v>
                </c:pt>
                <c:pt idx="87">
                  <c:v>7.8799999999999995E-2</c:v>
                </c:pt>
                <c:pt idx="88">
                  <c:v>7.7499999999999999E-2</c:v>
                </c:pt>
                <c:pt idx="89">
                  <c:v>7.4200000000000002E-2</c:v>
                </c:pt>
                <c:pt idx="90">
                  <c:v>7.6200000000000004E-2</c:v>
                </c:pt>
                <c:pt idx="91">
                  <c:v>7.6399999999999996E-2</c:v>
                </c:pt>
                <c:pt idx="92">
                  <c:v>7.7700000000000005E-2</c:v>
                </c:pt>
                <c:pt idx="93">
                  <c:v>7.7700000000000005E-2</c:v>
                </c:pt>
                <c:pt idx="94">
                  <c:v>7.8E-2</c:v>
                </c:pt>
                <c:pt idx="95">
                  <c:v>7.5700000000000003E-2</c:v>
                </c:pt>
                <c:pt idx="96">
                  <c:v>7.7100000000000002E-2</c:v>
                </c:pt>
                <c:pt idx="97">
                  <c:v>7.51E-2</c:v>
                </c:pt>
                <c:pt idx="98">
                  <c:v>7.5800000000000006E-2</c:v>
                </c:pt>
                <c:pt idx="99">
                  <c:v>7.3800000000000004E-2</c:v>
                </c:pt>
                <c:pt idx="100">
                  <c:v>7.3899999999999993E-2</c:v>
                </c:pt>
                <c:pt idx="101">
                  <c:v>7.1599999999999997E-2</c:v>
                </c:pt>
                <c:pt idx="102">
                  <c:v>7.0999999999999994E-2</c:v>
                </c:pt>
                <c:pt idx="103">
                  <c:v>7.0199999999999999E-2</c:v>
                </c:pt>
                <c:pt idx="104">
                  <c:v>6.8699999999999997E-2</c:v>
                </c:pt>
                <c:pt idx="105">
                  <c:v>6.6900000000000001E-2</c:v>
                </c:pt>
                <c:pt idx="106">
                  <c:v>6.5500000000000003E-2</c:v>
                </c:pt>
                <c:pt idx="107">
                  <c:v>6.6299999999999998E-2</c:v>
                </c:pt>
                <c:pt idx="108">
                  <c:v>6.6199999999999995E-2</c:v>
                </c:pt>
                <c:pt idx="109">
                  <c:v>6.6500000000000004E-2</c:v>
                </c:pt>
                <c:pt idx="110">
                  <c:v>6.8900000000000003E-2</c:v>
                </c:pt>
                <c:pt idx="111">
                  <c:v>6.8400000000000002E-2</c:v>
                </c:pt>
                <c:pt idx="112">
                  <c:v>6.6500000000000004E-2</c:v>
                </c:pt>
                <c:pt idx="113">
                  <c:v>6.5000000000000002E-2</c:v>
                </c:pt>
                <c:pt idx="114">
                  <c:v>6.6699999999999995E-2</c:v>
                </c:pt>
                <c:pt idx="115">
                  <c:v>6.5699999999999995E-2</c:v>
                </c:pt>
                <c:pt idx="116">
                  <c:v>6.6500000000000004E-2</c:v>
                </c:pt>
                <c:pt idx="117">
                  <c:v>6.54E-2</c:v>
                </c:pt>
                <c:pt idx="118">
                  <c:v>6.6400000000000001E-2</c:v>
                </c:pt>
                <c:pt idx="119">
                  <c:v>6.5699999999999995E-2</c:v>
                </c:pt>
                <c:pt idx="120">
                  <c:v>6.2300000000000001E-2</c:v>
                </c:pt>
                <c:pt idx="121">
                  <c:v>6.5000000000000002E-2</c:v>
                </c:pt>
                <c:pt idx="122">
                  <c:v>6.4000000000000001E-2</c:v>
                </c:pt>
                <c:pt idx="123">
                  <c:v>6.2799999999999995E-2</c:v>
                </c:pt>
                <c:pt idx="124">
                  <c:v>6.2899999999999998E-2</c:v>
                </c:pt>
                <c:pt idx="125">
                  <c:v>6.5600000000000006E-2</c:v>
                </c:pt>
                <c:pt idx="126">
                  <c:v>6.3500000000000001E-2</c:v>
                </c:pt>
                <c:pt idx="127">
                  <c:v>6.3E-2</c:v>
                </c:pt>
                <c:pt idx="128">
                  <c:v>6.25E-2</c:v>
                </c:pt>
                <c:pt idx="129">
                  <c:v>6.3600000000000004E-2</c:v>
                </c:pt>
                <c:pt idx="130">
                  <c:v>6.5600000000000006E-2</c:v>
                </c:pt>
                <c:pt idx="131">
                  <c:v>6.3700000000000007E-2</c:v>
                </c:pt>
                <c:pt idx="132">
                  <c:v>6.2399999999999997E-2</c:v>
                </c:pt>
                <c:pt idx="133">
                  <c:v>5.74E-2</c:v>
                </c:pt>
                <c:pt idx="134">
                  <c:v>5.6500000000000002E-2</c:v>
                </c:pt>
                <c:pt idx="135">
                  <c:v>5.8500000000000003E-2</c:v>
                </c:pt>
                <c:pt idx="136">
                  <c:v>5.8099999999999999E-2</c:v>
                </c:pt>
                <c:pt idx="137">
                  <c:v>5.7000000000000002E-2</c:v>
                </c:pt>
                <c:pt idx="138">
                  <c:v>5.96E-2</c:v>
                </c:pt>
                <c:pt idx="139">
                  <c:v>6.1499999999999999E-2</c:v>
                </c:pt>
                <c:pt idx="140">
                  <c:v>6.1100000000000002E-2</c:v>
                </c:pt>
                <c:pt idx="141">
                  <c:v>6.13E-2</c:v>
                </c:pt>
                <c:pt idx="142">
                  <c:v>6.25E-2</c:v>
                </c:pt>
                <c:pt idx="143">
                  <c:v>6.1699999999999998E-2</c:v>
                </c:pt>
                <c:pt idx="144">
                  <c:v>6.2399999999999997E-2</c:v>
                </c:pt>
                <c:pt idx="145">
                  <c:v>6.3600000000000004E-2</c:v>
                </c:pt>
                <c:pt idx="146">
                  <c:v>6.7400000000000002E-2</c:v>
                </c:pt>
                <c:pt idx="147">
                  <c:v>6.5600000000000006E-2</c:v>
                </c:pt>
                <c:pt idx="148">
                  <c:v>6.4799999999999996E-2</c:v>
                </c:pt>
                <c:pt idx="149">
                  <c:v>6.3500000000000001E-2</c:v>
                </c:pt>
                <c:pt idx="150">
                  <c:v>6.25E-2</c:v>
                </c:pt>
                <c:pt idx="151">
                  <c:v>6.2E-2</c:v>
                </c:pt>
                <c:pt idx="152">
                  <c:v>6.0299999999999999E-2</c:v>
                </c:pt>
                <c:pt idx="153">
                  <c:v>6.1400000000000003E-2</c:v>
                </c:pt>
                <c:pt idx="154">
                  <c:v>5.9499999999999997E-2</c:v>
                </c:pt>
                <c:pt idx="155">
                  <c:v>5.8299999999999998E-2</c:v>
                </c:pt>
                <c:pt idx="156">
                  <c:v>5.7000000000000002E-2</c:v>
                </c:pt>
                <c:pt idx="157">
                  <c:v>5.5899999999999998E-2</c:v>
                </c:pt>
                <c:pt idx="158">
                  <c:v>5.57E-2</c:v>
                </c:pt>
                <c:pt idx="159">
                  <c:v>5.3900000000000003E-2</c:v>
                </c:pt>
                <c:pt idx="160">
                  <c:v>5.2900000000000003E-2</c:v>
                </c:pt>
                <c:pt idx="161">
                  <c:v>5.3699999999999998E-2</c:v>
                </c:pt>
                <c:pt idx="162">
                  <c:v>5.3400000000000003E-2</c:v>
                </c:pt>
                <c:pt idx="163">
                  <c:v>5.4199999999999998E-2</c:v>
                </c:pt>
                <c:pt idx="164">
                  <c:v>5.4899999999999997E-2</c:v>
                </c:pt>
                <c:pt idx="165">
                  <c:v>5.74E-2</c:v>
                </c:pt>
                <c:pt idx="166">
                  <c:v>5.79E-2</c:v>
                </c:pt>
                <c:pt idx="167">
                  <c:v>5.7099999999999998E-2</c:v>
                </c:pt>
                <c:pt idx="168">
                  <c:v>5.7700000000000001E-2</c:v>
                </c:pt>
                <c:pt idx="169">
                  <c:v>5.7799999999999997E-2</c:v>
                </c:pt>
                <c:pt idx="170">
                  <c:v>5.4600000000000003E-2</c:v>
                </c:pt>
                <c:pt idx="171">
                  <c:v>5.3499999999999999E-2</c:v>
                </c:pt>
                <c:pt idx="172">
                  <c:v>5.1400000000000001E-2</c:v>
                </c:pt>
                <c:pt idx="173">
                  <c:v>4.9799999999999997E-2</c:v>
                </c:pt>
                <c:pt idx="174">
                  <c:v>5.04E-2</c:v>
                </c:pt>
                <c:pt idx="175">
                  <c:v>4.9700000000000001E-2</c:v>
                </c:pt>
                <c:pt idx="176">
                  <c:v>5.2299999999999999E-2</c:v>
                </c:pt>
                <c:pt idx="177">
                  <c:v>5.1499999999999997E-2</c:v>
                </c:pt>
                <c:pt idx="178">
                  <c:v>5.33E-2</c:v>
                </c:pt>
                <c:pt idx="179">
                  <c:v>5.1700000000000003E-2</c:v>
                </c:pt>
                <c:pt idx="180">
                  <c:v>5.1700000000000003E-2</c:v>
                </c:pt>
                <c:pt idx="181">
                  <c:v>5.0299999999999997E-2</c:v>
                </c:pt>
                <c:pt idx="182">
                  <c:v>4.8899999999999999E-2</c:v>
                </c:pt>
                <c:pt idx="183">
                  <c:v>4.6699999999999998E-2</c:v>
                </c:pt>
                <c:pt idx="184">
                  <c:v>4.8599999999999997E-2</c:v>
                </c:pt>
                <c:pt idx="185">
                  <c:v>4.82E-2</c:v>
                </c:pt>
                <c:pt idx="186">
                  <c:v>4.6699999999999998E-2</c:v>
                </c:pt>
                <c:pt idx="187">
                  <c:v>4.7500000000000001E-2</c:v>
                </c:pt>
                <c:pt idx="188">
                  <c:v>4.8300000000000003E-2</c:v>
                </c:pt>
                <c:pt idx="189">
                  <c:v>4.7800000000000002E-2</c:v>
                </c:pt>
                <c:pt idx="190">
                  <c:v>4.6899999999999997E-2</c:v>
                </c:pt>
                <c:pt idx="191">
                  <c:v>5.0900000000000001E-2</c:v>
                </c:pt>
                <c:pt idx="192">
                  <c:v>5.11E-2</c:v>
                </c:pt>
                <c:pt idx="193">
                  <c:v>5.1200000000000002E-2</c:v>
                </c:pt>
                <c:pt idx="194">
                  <c:v>5.1400000000000001E-2</c:v>
                </c:pt>
                <c:pt idx="195">
                  <c:v>5.1499999999999997E-2</c:v>
                </c:pt>
                <c:pt idx="196">
                  <c:v>5.2499999999999998E-2</c:v>
                </c:pt>
                <c:pt idx="197">
                  <c:v>5.4300000000000001E-2</c:v>
                </c:pt>
                <c:pt idx="198">
                  <c:v>5.4100000000000002E-2</c:v>
                </c:pt>
                <c:pt idx="199">
                  <c:v>5.62E-2</c:v>
                </c:pt>
                <c:pt idx="200">
                  <c:v>5.6599999999999998E-2</c:v>
                </c:pt>
                <c:pt idx="201">
                  <c:v>5.8000000000000003E-2</c:v>
                </c:pt>
                <c:pt idx="202">
                  <c:v>5.7700000000000001E-2</c:v>
                </c:pt>
                <c:pt idx="203">
                  <c:v>6.0400000000000002E-2</c:v>
                </c:pt>
                <c:pt idx="204">
                  <c:v>6.0999999999999999E-2</c:v>
                </c:pt>
                <c:pt idx="205">
                  <c:v>6.0600000000000001E-2</c:v>
                </c:pt>
                <c:pt idx="206">
                  <c:v>5.9700000000000003E-2</c:v>
                </c:pt>
                <c:pt idx="207">
                  <c:v>6.2199999999999998E-2</c:v>
                </c:pt>
                <c:pt idx="208">
                  <c:v>6.1199999999999997E-2</c:v>
                </c:pt>
                <c:pt idx="209">
                  <c:v>6.25E-2</c:v>
                </c:pt>
                <c:pt idx="210">
                  <c:v>6.2799999999999995E-2</c:v>
                </c:pt>
                <c:pt idx="211">
                  <c:v>6.3700000000000007E-2</c:v>
                </c:pt>
                <c:pt idx="212">
                  <c:v>6.59E-2</c:v>
                </c:pt>
                <c:pt idx="213">
                  <c:v>6.6799999999999998E-2</c:v>
                </c:pt>
                <c:pt idx="214">
                  <c:v>6.54E-2</c:v>
                </c:pt>
                <c:pt idx="215">
                  <c:v>6.5299999999999997E-2</c:v>
                </c:pt>
                <c:pt idx="216">
                  <c:v>6.5500000000000003E-2</c:v>
                </c:pt>
                <c:pt idx="217">
                  <c:v>6.3799999999999996E-2</c:v>
                </c:pt>
                <c:pt idx="218">
                  <c:v>6.4299999999999996E-2</c:v>
                </c:pt>
                <c:pt idx="219">
                  <c:v>6.2199999999999998E-2</c:v>
                </c:pt>
                <c:pt idx="220">
                  <c:v>6.1800000000000001E-2</c:v>
                </c:pt>
                <c:pt idx="221">
                  <c:v>6.0499999999999998E-2</c:v>
                </c:pt>
                <c:pt idx="222">
                  <c:v>5.91E-2</c:v>
                </c:pt>
                <c:pt idx="223">
                  <c:v>5.6800000000000003E-2</c:v>
                </c:pt>
                <c:pt idx="224">
                  <c:v>5.5500000000000001E-2</c:v>
                </c:pt>
                <c:pt idx="225">
                  <c:v>5.67E-2</c:v>
                </c:pt>
                <c:pt idx="226">
                  <c:v>5.8099999999999999E-2</c:v>
                </c:pt>
                <c:pt idx="227">
                  <c:v>5.9400000000000001E-2</c:v>
                </c:pt>
                <c:pt idx="228">
                  <c:v>5.7799999999999997E-2</c:v>
                </c:pt>
                <c:pt idx="229">
                  <c:v>5.74E-2</c:v>
                </c:pt>
                <c:pt idx="230">
                  <c:v>5.8700000000000002E-2</c:v>
                </c:pt>
                <c:pt idx="231">
                  <c:v>5.8200000000000002E-2</c:v>
                </c:pt>
                <c:pt idx="232">
                  <c:v>5.2200000000000003E-2</c:v>
                </c:pt>
                <c:pt idx="233">
                  <c:v>5.2699999999999997E-2</c:v>
                </c:pt>
                <c:pt idx="234">
                  <c:v>5.3699999999999998E-2</c:v>
                </c:pt>
                <c:pt idx="235">
                  <c:v>5.57E-2</c:v>
                </c:pt>
                <c:pt idx="236">
                  <c:v>5.67E-2</c:v>
                </c:pt>
                <c:pt idx="237">
                  <c:v>5.7200000000000001E-2</c:v>
                </c:pt>
                <c:pt idx="238">
                  <c:v>5.7500000000000002E-2</c:v>
                </c:pt>
                <c:pt idx="239">
                  <c:v>5.8799999999999998E-2</c:v>
                </c:pt>
                <c:pt idx="240">
                  <c:v>5.7599999999999998E-2</c:v>
                </c:pt>
                <c:pt idx="241">
                  <c:v>5.8099999999999999E-2</c:v>
                </c:pt>
                <c:pt idx="242">
                  <c:v>6.0100000000000001E-2</c:v>
                </c:pt>
                <c:pt idx="243">
                  <c:v>6.0400000000000002E-2</c:v>
                </c:pt>
                <c:pt idx="244">
                  <c:v>0.06</c:v>
                </c:pt>
                <c:pt idx="245">
                  <c:v>6.0299999999999999E-2</c:v>
                </c:pt>
                <c:pt idx="246">
                  <c:v>6.2399999999999997E-2</c:v>
                </c:pt>
                <c:pt idx="247">
                  <c:v>6.1600000000000002E-2</c:v>
                </c:pt>
                <c:pt idx="248">
                  <c:v>5.9200000000000003E-2</c:v>
                </c:pt>
                <c:pt idx="249">
                  <c:v>5.8099999999999999E-2</c:v>
                </c:pt>
                <c:pt idx="250">
                  <c:v>5.7700000000000001E-2</c:v>
                </c:pt>
              </c:numCache>
            </c:numRef>
          </c:val>
          <c:smooth val="0"/>
          <c:extLst>
            <c:ext xmlns:c16="http://schemas.microsoft.com/office/drawing/2014/chart" uri="{C3380CC4-5D6E-409C-BE32-E72D297353CC}">
              <c16:uniqueId val="{0000000E-7F0D-4D4B-A64C-CDFE76AE6D25}"/>
            </c:ext>
          </c:extLst>
        </c:ser>
        <c:ser>
          <c:idx val="8"/>
          <c:order val="8"/>
          <c:tx>
            <c:strRef>
              <c:f>Data_From_Collab!$J$1</c:f>
              <c:strCache>
                <c:ptCount val="1"/>
                <c:pt idx="0">
                  <c:v>SNAP</c:v>
                </c:pt>
              </c:strCache>
            </c:strRef>
          </c:tx>
          <c:spPr>
            <a:ln w="28575" cap="rnd">
              <a:solidFill>
                <a:schemeClr val="accent3">
                  <a:lumMod val="60000"/>
                </a:schemeClr>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Data_From_Collab!$J$2:$J$252</c:f>
              <c:numCache>
                <c:formatCode>General</c:formatCode>
                <c:ptCount val="251"/>
                <c:pt idx="0">
                  <c:v>0.1028</c:v>
                </c:pt>
                <c:pt idx="1">
                  <c:v>0.1022</c:v>
                </c:pt>
                <c:pt idx="2">
                  <c:v>0.10199999999999999</c:v>
                </c:pt>
                <c:pt idx="3">
                  <c:v>0.1033</c:v>
                </c:pt>
                <c:pt idx="4">
                  <c:v>0.1041</c:v>
                </c:pt>
                <c:pt idx="5">
                  <c:v>0.1051</c:v>
                </c:pt>
                <c:pt idx="6">
                  <c:v>0.1051</c:v>
                </c:pt>
                <c:pt idx="7">
                  <c:v>0.1019</c:v>
                </c:pt>
                <c:pt idx="8">
                  <c:v>0.1004</c:v>
                </c:pt>
                <c:pt idx="9">
                  <c:v>0.1009</c:v>
                </c:pt>
                <c:pt idx="10">
                  <c:v>0.1023</c:v>
                </c:pt>
                <c:pt idx="11">
                  <c:v>0.1032</c:v>
                </c:pt>
                <c:pt idx="12">
                  <c:v>0.10249999999999999</c:v>
                </c:pt>
                <c:pt idx="13">
                  <c:v>0.1066</c:v>
                </c:pt>
                <c:pt idx="14">
                  <c:v>0.10680000000000001</c:v>
                </c:pt>
                <c:pt idx="15">
                  <c:v>0.10580000000000001</c:v>
                </c:pt>
                <c:pt idx="16">
                  <c:v>0.1023</c:v>
                </c:pt>
                <c:pt idx="17">
                  <c:v>0.10639999999999999</c:v>
                </c:pt>
                <c:pt idx="18">
                  <c:v>0.1082</c:v>
                </c:pt>
                <c:pt idx="19">
                  <c:v>0.11210000000000001</c:v>
                </c:pt>
                <c:pt idx="20">
                  <c:v>0.1148</c:v>
                </c:pt>
                <c:pt idx="21">
                  <c:v>0.11650000000000001</c:v>
                </c:pt>
                <c:pt idx="22">
                  <c:v>0.1168</c:v>
                </c:pt>
                <c:pt idx="23">
                  <c:v>0.11840000000000001</c:v>
                </c:pt>
                <c:pt idx="24">
                  <c:v>0.1202</c:v>
                </c:pt>
                <c:pt idx="25">
                  <c:v>0.1212</c:v>
                </c:pt>
                <c:pt idx="26">
                  <c:v>0.1191</c:v>
                </c:pt>
                <c:pt idx="27">
                  <c:v>0.1168</c:v>
                </c:pt>
                <c:pt idx="28">
                  <c:v>0.1178</c:v>
                </c:pt>
                <c:pt idx="29">
                  <c:v>0.12740000000000001</c:v>
                </c:pt>
                <c:pt idx="30">
                  <c:v>0.13370000000000001</c:v>
                </c:pt>
                <c:pt idx="31">
                  <c:v>0.1351</c:v>
                </c:pt>
                <c:pt idx="32">
                  <c:v>0.13150000000000001</c:v>
                </c:pt>
                <c:pt idx="33">
                  <c:v>0.13469999999999999</c:v>
                </c:pt>
                <c:pt idx="34">
                  <c:v>0.13370000000000001</c:v>
                </c:pt>
                <c:pt idx="35">
                  <c:v>0.13109999999999999</c:v>
                </c:pt>
                <c:pt idx="36">
                  <c:v>0.1293</c:v>
                </c:pt>
                <c:pt idx="37">
                  <c:v>0.12740000000000001</c:v>
                </c:pt>
                <c:pt idx="38">
                  <c:v>0.1268</c:v>
                </c:pt>
                <c:pt idx="39">
                  <c:v>0.12509999999999999</c:v>
                </c:pt>
                <c:pt idx="40">
                  <c:v>0.10730000000000001</c:v>
                </c:pt>
                <c:pt idx="41">
                  <c:v>0.1033</c:v>
                </c:pt>
                <c:pt idx="42">
                  <c:v>0.10680000000000001</c:v>
                </c:pt>
                <c:pt idx="43">
                  <c:v>0.11360000000000001</c:v>
                </c:pt>
                <c:pt idx="44">
                  <c:v>0.1128</c:v>
                </c:pt>
                <c:pt idx="45">
                  <c:v>0.10970000000000001</c:v>
                </c:pt>
                <c:pt idx="46">
                  <c:v>0.1079</c:v>
                </c:pt>
                <c:pt idx="47">
                  <c:v>0.1075</c:v>
                </c:pt>
                <c:pt idx="48">
                  <c:v>0.1057</c:v>
                </c:pt>
                <c:pt idx="49">
                  <c:v>0.10539999999999999</c:v>
                </c:pt>
                <c:pt idx="50">
                  <c:v>0.10440000000000001</c:v>
                </c:pt>
                <c:pt idx="51">
                  <c:v>0.1022</c:v>
                </c:pt>
                <c:pt idx="52">
                  <c:v>0.1003</c:v>
                </c:pt>
                <c:pt idx="53">
                  <c:v>9.9400000000000002E-2</c:v>
                </c:pt>
                <c:pt idx="54">
                  <c:v>9.5600000000000004E-2</c:v>
                </c:pt>
                <c:pt idx="55">
                  <c:v>9.1600000000000001E-2</c:v>
                </c:pt>
                <c:pt idx="56">
                  <c:v>9.0399999999999994E-2</c:v>
                </c:pt>
                <c:pt idx="57">
                  <c:v>9.1800000000000007E-2</c:v>
                </c:pt>
                <c:pt idx="58">
                  <c:v>9.3600000000000003E-2</c:v>
                </c:pt>
                <c:pt idx="59">
                  <c:v>9.2499999999999999E-2</c:v>
                </c:pt>
                <c:pt idx="60">
                  <c:v>9.2399999999999996E-2</c:v>
                </c:pt>
                <c:pt idx="61">
                  <c:v>9.3700000000000006E-2</c:v>
                </c:pt>
                <c:pt idx="62">
                  <c:v>9.2499999999999999E-2</c:v>
                </c:pt>
                <c:pt idx="63">
                  <c:v>9.4500000000000001E-2</c:v>
                </c:pt>
                <c:pt idx="64">
                  <c:v>9.8900000000000002E-2</c:v>
                </c:pt>
                <c:pt idx="65">
                  <c:v>0.1012</c:v>
                </c:pt>
                <c:pt idx="66">
                  <c:v>0.10349999999999999</c:v>
                </c:pt>
                <c:pt idx="67">
                  <c:v>0.10440000000000001</c:v>
                </c:pt>
                <c:pt idx="68">
                  <c:v>0.1046</c:v>
                </c:pt>
                <c:pt idx="69">
                  <c:v>9.6299999999999997E-2</c:v>
                </c:pt>
                <c:pt idx="70">
                  <c:v>9.7199999999999995E-2</c:v>
                </c:pt>
                <c:pt idx="71">
                  <c:v>9.3899999999999997E-2</c:v>
                </c:pt>
                <c:pt idx="72">
                  <c:v>9.4399999999999998E-2</c:v>
                </c:pt>
                <c:pt idx="73">
                  <c:v>9.5799999999999996E-2</c:v>
                </c:pt>
                <c:pt idx="74">
                  <c:v>9.2899999999999996E-2</c:v>
                </c:pt>
                <c:pt idx="75">
                  <c:v>9.1600000000000001E-2</c:v>
                </c:pt>
                <c:pt idx="76">
                  <c:v>9.1600000000000001E-2</c:v>
                </c:pt>
                <c:pt idx="77">
                  <c:v>8.8900000000000007E-2</c:v>
                </c:pt>
                <c:pt idx="78">
                  <c:v>0.09</c:v>
                </c:pt>
                <c:pt idx="79">
                  <c:v>9.0300000000000005E-2</c:v>
                </c:pt>
                <c:pt idx="80">
                  <c:v>8.6300000000000002E-2</c:v>
                </c:pt>
                <c:pt idx="81">
                  <c:v>8.6900000000000005E-2</c:v>
                </c:pt>
                <c:pt idx="82">
                  <c:v>8.5999999999999993E-2</c:v>
                </c:pt>
                <c:pt idx="83">
                  <c:v>8.3400000000000002E-2</c:v>
                </c:pt>
                <c:pt idx="84">
                  <c:v>8.4900000000000003E-2</c:v>
                </c:pt>
                <c:pt idx="85">
                  <c:v>8.5599999999999996E-2</c:v>
                </c:pt>
                <c:pt idx="86">
                  <c:v>8.9099999999999999E-2</c:v>
                </c:pt>
                <c:pt idx="87">
                  <c:v>8.7400000000000005E-2</c:v>
                </c:pt>
                <c:pt idx="88">
                  <c:v>8.5400000000000004E-2</c:v>
                </c:pt>
                <c:pt idx="89">
                  <c:v>8.6900000000000005E-2</c:v>
                </c:pt>
                <c:pt idx="90">
                  <c:v>8.7400000000000005E-2</c:v>
                </c:pt>
                <c:pt idx="91">
                  <c:v>8.6300000000000002E-2</c:v>
                </c:pt>
                <c:pt idx="92">
                  <c:v>8.6099999999999996E-2</c:v>
                </c:pt>
                <c:pt idx="93">
                  <c:v>8.8200000000000001E-2</c:v>
                </c:pt>
                <c:pt idx="94">
                  <c:v>9.11E-2</c:v>
                </c:pt>
                <c:pt idx="95">
                  <c:v>9.11E-2</c:v>
                </c:pt>
                <c:pt idx="96">
                  <c:v>8.6800000000000002E-2</c:v>
                </c:pt>
                <c:pt idx="97">
                  <c:v>9.7199999999999995E-2</c:v>
                </c:pt>
                <c:pt idx="98">
                  <c:v>9.69E-2</c:v>
                </c:pt>
                <c:pt idx="99">
                  <c:v>9.6000000000000002E-2</c:v>
                </c:pt>
                <c:pt idx="100">
                  <c:v>9.6500000000000002E-2</c:v>
                </c:pt>
                <c:pt idx="101">
                  <c:v>9.4399999999999998E-2</c:v>
                </c:pt>
                <c:pt idx="102">
                  <c:v>9.4899999999999998E-2</c:v>
                </c:pt>
                <c:pt idx="103">
                  <c:v>9.7100000000000006E-2</c:v>
                </c:pt>
                <c:pt idx="104">
                  <c:v>9.1899999999999996E-2</c:v>
                </c:pt>
                <c:pt idx="105">
                  <c:v>9.2999999999999999E-2</c:v>
                </c:pt>
                <c:pt idx="106">
                  <c:v>9.2999999999999999E-2</c:v>
                </c:pt>
                <c:pt idx="107">
                  <c:v>9.7000000000000003E-2</c:v>
                </c:pt>
                <c:pt idx="108">
                  <c:v>0.10009999999999999</c:v>
                </c:pt>
                <c:pt idx="109">
                  <c:v>9.9900000000000003E-2</c:v>
                </c:pt>
                <c:pt idx="110">
                  <c:v>0.1043</c:v>
                </c:pt>
                <c:pt idx="111">
                  <c:v>0.1072</c:v>
                </c:pt>
                <c:pt idx="112">
                  <c:v>0.10730000000000001</c:v>
                </c:pt>
                <c:pt idx="113">
                  <c:v>0.1096</c:v>
                </c:pt>
                <c:pt idx="114">
                  <c:v>0.1123</c:v>
                </c:pt>
                <c:pt idx="115">
                  <c:v>0.1124</c:v>
                </c:pt>
                <c:pt idx="116">
                  <c:v>0.1132</c:v>
                </c:pt>
                <c:pt idx="117">
                  <c:v>0.113</c:v>
                </c:pt>
                <c:pt idx="118">
                  <c:v>0.1215</c:v>
                </c:pt>
                <c:pt idx="119">
                  <c:v>0.122</c:v>
                </c:pt>
                <c:pt idx="120">
                  <c:v>0.1207</c:v>
                </c:pt>
                <c:pt idx="121">
                  <c:v>0.11890000000000001</c:v>
                </c:pt>
                <c:pt idx="122">
                  <c:v>0.1215</c:v>
                </c:pt>
                <c:pt idx="123">
                  <c:v>0.1206</c:v>
                </c:pt>
                <c:pt idx="124">
                  <c:v>0.1231</c:v>
                </c:pt>
                <c:pt idx="125">
                  <c:v>0.12520000000000001</c:v>
                </c:pt>
                <c:pt idx="126">
                  <c:v>0.1268</c:v>
                </c:pt>
                <c:pt idx="127">
                  <c:v>0.12839999999999999</c:v>
                </c:pt>
                <c:pt idx="128">
                  <c:v>0.1298</c:v>
                </c:pt>
                <c:pt idx="129">
                  <c:v>0.13830000000000001</c:v>
                </c:pt>
                <c:pt idx="130">
                  <c:v>0.1414</c:v>
                </c:pt>
                <c:pt idx="131">
                  <c:v>0.14299999999999999</c:v>
                </c:pt>
                <c:pt idx="132">
                  <c:v>0.14599999999999999</c:v>
                </c:pt>
                <c:pt idx="133">
                  <c:v>0.1477</c:v>
                </c:pt>
                <c:pt idx="134">
                  <c:v>0.14760000000000001</c:v>
                </c:pt>
                <c:pt idx="135">
                  <c:v>0.15090000000000001</c:v>
                </c:pt>
                <c:pt idx="136">
                  <c:v>0.1575</c:v>
                </c:pt>
                <c:pt idx="137">
                  <c:v>0.1585</c:v>
                </c:pt>
                <c:pt idx="138">
                  <c:v>0.16450000000000001</c:v>
                </c:pt>
                <c:pt idx="139">
                  <c:v>0.1694</c:v>
                </c:pt>
                <c:pt idx="140">
                  <c:v>0.16919999999999999</c:v>
                </c:pt>
                <c:pt idx="141">
                  <c:v>0.17019999999999999</c:v>
                </c:pt>
                <c:pt idx="142">
                  <c:v>0.17180000000000001</c:v>
                </c:pt>
                <c:pt idx="143">
                  <c:v>0.16600000000000001</c:v>
                </c:pt>
                <c:pt idx="144">
                  <c:v>0.17230000000000001</c:v>
                </c:pt>
                <c:pt idx="145">
                  <c:v>0.17050000000000001</c:v>
                </c:pt>
                <c:pt idx="146">
                  <c:v>0.1678</c:v>
                </c:pt>
                <c:pt idx="147">
                  <c:v>0.16950000000000001</c:v>
                </c:pt>
                <c:pt idx="148">
                  <c:v>0.17050000000000001</c:v>
                </c:pt>
                <c:pt idx="149">
                  <c:v>0.16930000000000001</c:v>
                </c:pt>
                <c:pt idx="150">
                  <c:v>0.16139999999999999</c:v>
                </c:pt>
                <c:pt idx="151">
                  <c:v>0.1578</c:v>
                </c:pt>
                <c:pt idx="152">
                  <c:v>0.16200000000000001</c:v>
                </c:pt>
                <c:pt idx="153">
                  <c:v>0.16550000000000001</c:v>
                </c:pt>
                <c:pt idx="154">
                  <c:v>0.1731</c:v>
                </c:pt>
                <c:pt idx="155">
                  <c:v>0.17050000000000001</c:v>
                </c:pt>
                <c:pt idx="156">
                  <c:v>0.17369999999999999</c:v>
                </c:pt>
                <c:pt idx="157">
                  <c:v>0.1709</c:v>
                </c:pt>
                <c:pt idx="158">
                  <c:v>0.1643</c:v>
                </c:pt>
                <c:pt idx="159">
                  <c:v>0.15540000000000001</c:v>
                </c:pt>
                <c:pt idx="160">
                  <c:v>0.155</c:v>
                </c:pt>
                <c:pt idx="161">
                  <c:v>0.16209999999999999</c:v>
                </c:pt>
                <c:pt idx="162">
                  <c:v>0.16420000000000001</c:v>
                </c:pt>
                <c:pt idx="163">
                  <c:v>0.1661</c:v>
                </c:pt>
                <c:pt idx="164">
                  <c:v>0.1633</c:v>
                </c:pt>
                <c:pt idx="165">
                  <c:v>0.16320000000000001</c:v>
                </c:pt>
                <c:pt idx="166">
                  <c:v>0.16289999999999999</c:v>
                </c:pt>
                <c:pt idx="167">
                  <c:v>0.16250000000000001</c:v>
                </c:pt>
                <c:pt idx="168">
                  <c:v>0.16889999999999999</c:v>
                </c:pt>
                <c:pt idx="169">
                  <c:v>0.16470000000000001</c:v>
                </c:pt>
                <c:pt idx="170">
                  <c:v>0.15890000000000001</c:v>
                </c:pt>
                <c:pt idx="171">
                  <c:v>0.15870000000000001</c:v>
                </c:pt>
                <c:pt idx="172">
                  <c:v>0.17050000000000001</c:v>
                </c:pt>
                <c:pt idx="173">
                  <c:v>0.16750000000000001</c:v>
                </c:pt>
                <c:pt idx="174">
                  <c:v>0.17449999999999999</c:v>
                </c:pt>
                <c:pt idx="175">
                  <c:v>0.11409999999999999</c:v>
                </c:pt>
                <c:pt idx="176">
                  <c:v>0.111</c:v>
                </c:pt>
                <c:pt idx="177">
                  <c:v>0.1111</c:v>
                </c:pt>
                <c:pt idx="178">
                  <c:v>0.1164</c:v>
                </c:pt>
                <c:pt idx="179">
                  <c:v>0.1114</c:v>
                </c:pt>
                <c:pt idx="180">
                  <c:v>0.114</c:v>
                </c:pt>
                <c:pt idx="181">
                  <c:v>0.11600000000000001</c:v>
                </c:pt>
                <c:pt idx="182">
                  <c:v>0.11169999999999999</c:v>
                </c:pt>
                <c:pt idx="183">
                  <c:v>0.1095</c:v>
                </c:pt>
                <c:pt idx="184">
                  <c:v>0.1074</c:v>
                </c:pt>
                <c:pt idx="185">
                  <c:v>0.10730000000000001</c:v>
                </c:pt>
                <c:pt idx="186">
                  <c:v>0.108</c:v>
                </c:pt>
                <c:pt idx="187">
                  <c:v>0.1072</c:v>
                </c:pt>
                <c:pt idx="188">
                  <c:v>0.109</c:v>
                </c:pt>
                <c:pt idx="189">
                  <c:v>0.11</c:v>
                </c:pt>
                <c:pt idx="190">
                  <c:v>0.11020000000000001</c:v>
                </c:pt>
                <c:pt idx="191">
                  <c:v>0.1125</c:v>
                </c:pt>
                <c:pt idx="192">
                  <c:v>0.1103</c:v>
                </c:pt>
                <c:pt idx="193">
                  <c:v>0.1143</c:v>
                </c:pt>
                <c:pt idx="194">
                  <c:v>0.1116</c:v>
                </c:pt>
                <c:pt idx="195">
                  <c:v>0.11849999999999999</c:v>
                </c:pt>
                <c:pt idx="196">
                  <c:v>0.1239</c:v>
                </c:pt>
                <c:pt idx="197">
                  <c:v>0.1187</c:v>
                </c:pt>
                <c:pt idx="198">
                  <c:v>0.1177</c:v>
                </c:pt>
                <c:pt idx="199">
                  <c:v>0.11899999999999999</c:v>
                </c:pt>
                <c:pt idx="200">
                  <c:v>0.1139</c:v>
                </c:pt>
                <c:pt idx="201">
                  <c:v>0.1119</c:v>
                </c:pt>
                <c:pt idx="202">
                  <c:v>0.1106</c:v>
                </c:pt>
                <c:pt idx="203">
                  <c:v>0.1105</c:v>
                </c:pt>
                <c:pt idx="204">
                  <c:v>0.112</c:v>
                </c:pt>
                <c:pt idx="205">
                  <c:v>0.1116</c:v>
                </c:pt>
                <c:pt idx="206">
                  <c:v>0.114</c:v>
                </c:pt>
                <c:pt idx="207">
                  <c:v>0.11260000000000001</c:v>
                </c:pt>
                <c:pt idx="208">
                  <c:v>0.11310000000000001</c:v>
                </c:pt>
                <c:pt idx="209">
                  <c:v>0.1145</c:v>
                </c:pt>
                <c:pt idx="210">
                  <c:v>0.1148</c:v>
                </c:pt>
                <c:pt idx="211">
                  <c:v>0.1125</c:v>
                </c:pt>
                <c:pt idx="212">
                  <c:v>0.1108</c:v>
                </c:pt>
                <c:pt idx="213">
                  <c:v>0.1115</c:v>
                </c:pt>
                <c:pt idx="214">
                  <c:v>0.11020000000000001</c:v>
                </c:pt>
                <c:pt idx="215">
                  <c:v>0.11</c:v>
                </c:pt>
                <c:pt idx="216">
                  <c:v>0.1111</c:v>
                </c:pt>
                <c:pt idx="217">
                  <c:v>0.1123</c:v>
                </c:pt>
                <c:pt idx="218">
                  <c:v>0.10879999999999999</c:v>
                </c:pt>
                <c:pt idx="219">
                  <c:v>0.11360000000000001</c:v>
                </c:pt>
                <c:pt idx="220">
                  <c:v>0.1085</c:v>
                </c:pt>
                <c:pt idx="221">
                  <c:v>0.10340000000000001</c:v>
                </c:pt>
                <c:pt idx="222">
                  <c:v>0.1041</c:v>
                </c:pt>
                <c:pt idx="223">
                  <c:v>0.109</c:v>
                </c:pt>
                <c:pt idx="224">
                  <c:v>0.1163</c:v>
                </c:pt>
                <c:pt idx="225">
                  <c:v>0.1116</c:v>
                </c:pt>
                <c:pt idx="226">
                  <c:v>0.1114</c:v>
                </c:pt>
                <c:pt idx="227">
                  <c:v>0.1139</c:v>
                </c:pt>
                <c:pt idx="228">
                  <c:v>0.1108</c:v>
                </c:pt>
                <c:pt idx="229">
                  <c:v>0.114</c:v>
                </c:pt>
                <c:pt idx="230">
                  <c:v>0.14549999999999999</c:v>
                </c:pt>
                <c:pt idx="231">
                  <c:v>0.1449</c:v>
                </c:pt>
                <c:pt idx="232">
                  <c:v>0.15049999999999999</c:v>
                </c:pt>
                <c:pt idx="233">
                  <c:v>0.15859999999999999</c:v>
                </c:pt>
                <c:pt idx="234">
                  <c:v>0.16300000000000001</c:v>
                </c:pt>
                <c:pt idx="235">
                  <c:v>0.16250000000000001</c:v>
                </c:pt>
                <c:pt idx="236">
                  <c:v>0.16839999999999999</c:v>
                </c:pt>
                <c:pt idx="237">
                  <c:v>0.1714</c:v>
                </c:pt>
                <c:pt idx="238">
                  <c:v>0.16739999999999999</c:v>
                </c:pt>
                <c:pt idx="239">
                  <c:v>0.16550000000000001</c:v>
                </c:pt>
                <c:pt idx="240">
                  <c:v>0.16009999999999999</c:v>
                </c:pt>
                <c:pt idx="241">
                  <c:v>0.15759999999999999</c:v>
                </c:pt>
                <c:pt idx="242">
                  <c:v>0.15620000000000001</c:v>
                </c:pt>
                <c:pt idx="243">
                  <c:v>0.16209999999999999</c:v>
                </c:pt>
                <c:pt idx="244">
                  <c:v>0.16020000000000001</c:v>
                </c:pt>
                <c:pt idx="245">
                  <c:v>0.1605</c:v>
                </c:pt>
                <c:pt idx="246">
                  <c:v>0.1643</c:v>
                </c:pt>
                <c:pt idx="247">
                  <c:v>0.15629999999999999</c:v>
                </c:pt>
                <c:pt idx="248">
                  <c:v>0.15909999999999999</c:v>
                </c:pt>
                <c:pt idx="249">
                  <c:v>0.15179999999999999</c:v>
                </c:pt>
                <c:pt idx="250">
                  <c:v>0.1522</c:v>
                </c:pt>
              </c:numCache>
            </c:numRef>
          </c:val>
          <c:smooth val="0"/>
          <c:extLst>
            <c:ext xmlns:c16="http://schemas.microsoft.com/office/drawing/2014/chart" uri="{C3380CC4-5D6E-409C-BE32-E72D297353CC}">
              <c16:uniqueId val="{00000010-7F0D-4D4B-A64C-CDFE76AE6D25}"/>
            </c:ext>
          </c:extLst>
        </c:ser>
        <c:ser>
          <c:idx val="9"/>
          <c:order val="9"/>
          <c:tx>
            <c:strRef>
              <c:f>Data_From_Collab!$K$1</c:f>
              <c:strCache>
                <c:ptCount val="1"/>
                <c:pt idx="0">
                  <c:v>U</c:v>
                </c:pt>
              </c:strCache>
            </c:strRef>
          </c:tx>
          <c:spPr>
            <a:ln w="28575" cap="rnd">
              <a:solidFill>
                <a:schemeClr val="accent4">
                  <a:lumMod val="60000"/>
                </a:schemeClr>
              </a:solidFill>
              <a:round/>
            </a:ln>
            <a:effectLst/>
          </c:spPr>
          <c:marker>
            <c:symbol val="none"/>
          </c:marker>
          <c:cat>
            <c:numRef>
              <c:f>Data_From_Collab!$A$2:$A$252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Data_From_Collab!$K$2:$K$252</c:f>
              <c:numCache>
                <c:formatCode>General</c:formatCode>
                <c:ptCount val="251"/>
                <c:pt idx="0">
                  <c:v>0.27650000000000002</c:v>
                </c:pt>
                <c:pt idx="1">
                  <c:v>0.28720000000000001</c:v>
                </c:pt>
                <c:pt idx="2">
                  <c:v>0.29720000000000002</c:v>
                </c:pt>
                <c:pt idx="3">
                  <c:v>0.30120000000000002</c:v>
                </c:pt>
                <c:pt idx="4">
                  <c:v>0.31</c:v>
                </c:pt>
                <c:pt idx="5">
                  <c:v>0.36320000000000002</c:v>
                </c:pt>
                <c:pt idx="6">
                  <c:v>0.3584</c:v>
                </c:pt>
                <c:pt idx="7">
                  <c:v>0.34720000000000001</c:v>
                </c:pt>
                <c:pt idx="8">
                  <c:v>0.36280000000000001</c:v>
                </c:pt>
                <c:pt idx="9">
                  <c:v>0.36299999999999999</c:v>
                </c:pt>
                <c:pt idx="10">
                  <c:v>0.3599</c:v>
                </c:pt>
                <c:pt idx="11">
                  <c:v>0.38579999999999998</c:v>
                </c:pt>
                <c:pt idx="12">
                  <c:v>0.41039999999999999</c:v>
                </c:pt>
                <c:pt idx="13">
                  <c:v>0.41670000000000001</c:v>
                </c:pt>
                <c:pt idx="14">
                  <c:v>0.42559999999999998</c:v>
                </c:pt>
                <c:pt idx="15">
                  <c:v>0.40010000000000001</c:v>
                </c:pt>
                <c:pt idx="16">
                  <c:v>0.3836</c:v>
                </c:pt>
                <c:pt idx="17">
                  <c:v>0.3785</c:v>
                </c:pt>
                <c:pt idx="18">
                  <c:v>0.37469999999999998</c:v>
                </c:pt>
                <c:pt idx="19">
                  <c:v>0.36730000000000002</c:v>
                </c:pt>
                <c:pt idx="20">
                  <c:v>0.42380000000000001</c:v>
                </c:pt>
                <c:pt idx="21">
                  <c:v>0.44119999999999998</c:v>
                </c:pt>
                <c:pt idx="22">
                  <c:v>0.43680000000000002</c:v>
                </c:pt>
                <c:pt idx="23">
                  <c:v>0.43419999999999997</c:v>
                </c:pt>
                <c:pt idx="24">
                  <c:v>0.43459999999999999</c:v>
                </c:pt>
                <c:pt idx="25">
                  <c:v>0.4158</c:v>
                </c:pt>
                <c:pt idx="26">
                  <c:v>0.40550000000000003</c:v>
                </c:pt>
                <c:pt idx="27">
                  <c:v>0.40460000000000002</c:v>
                </c:pt>
                <c:pt idx="28">
                  <c:v>0.39960000000000001</c:v>
                </c:pt>
                <c:pt idx="29">
                  <c:v>0.43819999999999998</c:v>
                </c:pt>
                <c:pt idx="30">
                  <c:v>0.43690000000000001</c:v>
                </c:pt>
                <c:pt idx="31">
                  <c:v>0.46839999999999998</c:v>
                </c:pt>
                <c:pt idx="32">
                  <c:v>0.44340000000000002</c:v>
                </c:pt>
                <c:pt idx="33">
                  <c:v>0.46079999999999999</c:v>
                </c:pt>
                <c:pt idx="34">
                  <c:v>0.4713</c:v>
                </c:pt>
                <c:pt idx="35">
                  <c:v>0.48499999999999999</c:v>
                </c:pt>
                <c:pt idx="36">
                  <c:v>0.44440000000000002</c:v>
                </c:pt>
                <c:pt idx="37">
                  <c:v>0.44490000000000002</c:v>
                </c:pt>
                <c:pt idx="38">
                  <c:v>0.4355</c:v>
                </c:pt>
                <c:pt idx="39">
                  <c:v>0.432</c:v>
                </c:pt>
                <c:pt idx="40">
                  <c:v>0.43330000000000002</c:v>
                </c:pt>
                <c:pt idx="41">
                  <c:v>0.43209999999999998</c:v>
                </c:pt>
                <c:pt idx="42">
                  <c:v>0.45390000000000003</c:v>
                </c:pt>
                <c:pt idx="43">
                  <c:v>0.45839999999999997</c:v>
                </c:pt>
                <c:pt idx="44">
                  <c:v>0.45300000000000001</c:v>
                </c:pt>
                <c:pt idx="45">
                  <c:v>0.41449999999999998</c:v>
                </c:pt>
                <c:pt idx="46">
                  <c:v>0.41120000000000001</c:v>
                </c:pt>
                <c:pt idx="47">
                  <c:v>0.4017</c:v>
                </c:pt>
                <c:pt idx="48">
                  <c:v>0.39950000000000002</c:v>
                </c:pt>
                <c:pt idx="49">
                  <c:v>0.38890000000000002</c:v>
                </c:pt>
                <c:pt idx="50">
                  <c:v>0.37559999999999999</c:v>
                </c:pt>
                <c:pt idx="51">
                  <c:v>0.37090000000000001</c:v>
                </c:pt>
                <c:pt idx="52">
                  <c:v>0.36630000000000001</c:v>
                </c:pt>
                <c:pt idx="53">
                  <c:v>0.3654</c:v>
                </c:pt>
                <c:pt idx="54">
                  <c:v>0.35320000000000001</c:v>
                </c:pt>
                <c:pt idx="55">
                  <c:v>0.34699999999999998</c:v>
                </c:pt>
                <c:pt idx="56">
                  <c:v>0.33839999999999998</c:v>
                </c:pt>
                <c:pt idx="57">
                  <c:v>0.34410000000000002</c:v>
                </c:pt>
                <c:pt idx="58">
                  <c:v>0.34510000000000002</c:v>
                </c:pt>
                <c:pt idx="59">
                  <c:v>0.34050000000000002</c:v>
                </c:pt>
                <c:pt idx="60">
                  <c:v>0.3463</c:v>
                </c:pt>
                <c:pt idx="61">
                  <c:v>0.33850000000000002</c:v>
                </c:pt>
                <c:pt idx="62">
                  <c:v>0.34720000000000001</c:v>
                </c:pt>
                <c:pt idx="63">
                  <c:v>0.34689999999999999</c:v>
                </c:pt>
                <c:pt idx="64">
                  <c:v>0.36969999999999997</c:v>
                </c:pt>
                <c:pt idx="65">
                  <c:v>0.37469999999999998</c:v>
                </c:pt>
                <c:pt idx="66">
                  <c:v>0.37069999999999997</c:v>
                </c:pt>
                <c:pt idx="67">
                  <c:v>0.37090000000000001</c:v>
                </c:pt>
                <c:pt idx="68">
                  <c:v>0.38579999999999998</c:v>
                </c:pt>
                <c:pt idx="69">
                  <c:v>0.39290000000000003</c:v>
                </c:pt>
                <c:pt idx="70">
                  <c:v>0.38009999999999999</c:v>
                </c:pt>
                <c:pt idx="71">
                  <c:v>0.37680000000000002</c:v>
                </c:pt>
                <c:pt idx="72">
                  <c:v>0.38019999999999998</c:v>
                </c:pt>
                <c:pt idx="73">
                  <c:v>0.38969999999999999</c:v>
                </c:pt>
                <c:pt idx="74">
                  <c:v>0.36820000000000003</c:v>
                </c:pt>
                <c:pt idx="75">
                  <c:v>0.35709999999999997</c:v>
                </c:pt>
                <c:pt idx="76">
                  <c:v>0.36320000000000002</c:v>
                </c:pt>
                <c:pt idx="77">
                  <c:v>0.33450000000000002</c:v>
                </c:pt>
                <c:pt idx="78">
                  <c:v>0.33960000000000001</c:v>
                </c:pt>
                <c:pt idx="79">
                  <c:v>0.3332</c:v>
                </c:pt>
                <c:pt idx="80">
                  <c:v>0.31730000000000003</c:v>
                </c:pt>
                <c:pt idx="81">
                  <c:v>0.31609999999999999</c:v>
                </c:pt>
                <c:pt idx="82">
                  <c:v>0.31359999999999999</c:v>
                </c:pt>
                <c:pt idx="83">
                  <c:v>0.30449999999999999</c:v>
                </c:pt>
                <c:pt idx="84">
                  <c:v>0.30559999999999998</c:v>
                </c:pt>
                <c:pt idx="85">
                  <c:v>0.30709999999999998</c:v>
                </c:pt>
                <c:pt idx="86">
                  <c:v>0.31390000000000001</c:v>
                </c:pt>
                <c:pt idx="87">
                  <c:v>0.3054</c:v>
                </c:pt>
                <c:pt idx="88">
                  <c:v>0.29320000000000002</c:v>
                </c:pt>
                <c:pt idx="89">
                  <c:v>0.2944</c:v>
                </c:pt>
                <c:pt idx="90">
                  <c:v>0.28739999999999999</c:v>
                </c:pt>
                <c:pt idx="91">
                  <c:v>0.30149999999999999</c:v>
                </c:pt>
                <c:pt idx="92">
                  <c:v>0.29699999999999999</c:v>
                </c:pt>
                <c:pt idx="93">
                  <c:v>0.30020000000000002</c:v>
                </c:pt>
                <c:pt idx="94">
                  <c:v>0.30270000000000002</c:v>
                </c:pt>
                <c:pt idx="95">
                  <c:v>0.29049999999999998</c:v>
                </c:pt>
                <c:pt idx="96">
                  <c:v>0.28029999999999999</c:v>
                </c:pt>
                <c:pt idx="97">
                  <c:v>0.2838</c:v>
                </c:pt>
                <c:pt idx="98">
                  <c:v>0.28970000000000001</c:v>
                </c:pt>
                <c:pt idx="99">
                  <c:v>0.27500000000000002</c:v>
                </c:pt>
                <c:pt idx="100">
                  <c:v>0.27489999999999998</c:v>
                </c:pt>
                <c:pt idx="101">
                  <c:v>0.2717</c:v>
                </c:pt>
                <c:pt idx="102">
                  <c:v>0.2636</c:v>
                </c:pt>
                <c:pt idx="103">
                  <c:v>0.27450000000000002</c:v>
                </c:pt>
                <c:pt idx="104">
                  <c:v>0.25690000000000002</c:v>
                </c:pt>
                <c:pt idx="105">
                  <c:v>0.25900000000000001</c:v>
                </c:pt>
                <c:pt idx="106">
                  <c:v>0.25540000000000002</c:v>
                </c:pt>
                <c:pt idx="107">
                  <c:v>0.25080000000000002</c:v>
                </c:pt>
                <c:pt idx="108">
                  <c:v>0.25369999999999998</c:v>
                </c:pt>
                <c:pt idx="109">
                  <c:v>0.25080000000000002</c:v>
                </c:pt>
                <c:pt idx="110">
                  <c:v>0.26050000000000001</c:v>
                </c:pt>
                <c:pt idx="111">
                  <c:v>0.27639999999999998</c:v>
                </c:pt>
                <c:pt idx="112">
                  <c:v>0.2581</c:v>
                </c:pt>
                <c:pt idx="113">
                  <c:v>0.26800000000000002</c:v>
                </c:pt>
                <c:pt idx="114">
                  <c:v>0.2606</c:v>
                </c:pt>
                <c:pt idx="115">
                  <c:v>0.25240000000000001</c:v>
                </c:pt>
                <c:pt idx="116">
                  <c:v>0.27010000000000001</c:v>
                </c:pt>
                <c:pt idx="117">
                  <c:v>0.28160000000000002</c:v>
                </c:pt>
                <c:pt idx="118">
                  <c:v>0.2918</c:v>
                </c:pt>
                <c:pt idx="119">
                  <c:v>0.3019</c:v>
                </c:pt>
                <c:pt idx="120">
                  <c:v>0.28899999999999998</c:v>
                </c:pt>
                <c:pt idx="121">
                  <c:v>0.29199999999999998</c:v>
                </c:pt>
                <c:pt idx="122">
                  <c:v>0.2944</c:v>
                </c:pt>
                <c:pt idx="123">
                  <c:v>0.28420000000000001</c:v>
                </c:pt>
                <c:pt idx="124">
                  <c:v>0.28589999999999999</c:v>
                </c:pt>
                <c:pt idx="125">
                  <c:v>0.28849999999999998</c:v>
                </c:pt>
                <c:pt idx="126">
                  <c:v>0.28129999999999999</c:v>
                </c:pt>
                <c:pt idx="127">
                  <c:v>0.29370000000000002</c:v>
                </c:pt>
                <c:pt idx="128">
                  <c:v>0.30359999999999998</c:v>
                </c:pt>
                <c:pt idx="129">
                  <c:v>0.29509999999999997</c:v>
                </c:pt>
                <c:pt idx="130">
                  <c:v>0.32519999999999999</c:v>
                </c:pt>
                <c:pt idx="131">
                  <c:v>0.32629999999999998</c:v>
                </c:pt>
                <c:pt idx="132">
                  <c:v>0.31259999999999999</c:v>
                </c:pt>
                <c:pt idx="133">
                  <c:v>0.315</c:v>
                </c:pt>
                <c:pt idx="134">
                  <c:v>0.31900000000000001</c:v>
                </c:pt>
                <c:pt idx="135">
                  <c:v>0.32700000000000001</c:v>
                </c:pt>
                <c:pt idx="136">
                  <c:v>0.32400000000000001</c:v>
                </c:pt>
                <c:pt idx="137">
                  <c:v>0.33189999999999997</c:v>
                </c:pt>
                <c:pt idx="138">
                  <c:v>0.35389999999999999</c:v>
                </c:pt>
                <c:pt idx="139">
                  <c:v>0.38279999999999997</c:v>
                </c:pt>
                <c:pt idx="140">
                  <c:v>0.39360000000000001</c:v>
                </c:pt>
                <c:pt idx="141">
                  <c:v>0.3931</c:v>
                </c:pt>
                <c:pt idx="142">
                  <c:v>0.40939999999999999</c:v>
                </c:pt>
                <c:pt idx="143">
                  <c:v>0.38669999999999999</c:v>
                </c:pt>
                <c:pt idx="144">
                  <c:v>0.39710000000000001</c:v>
                </c:pt>
                <c:pt idx="145">
                  <c:v>0.3921</c:v>
                </c:pt>
                <c:pt idx="146">
                  <c:v>0.4214</c:v>
                </c:pt>
                <c:pt idx="147">
                  <c:v>0.42730000000000001</c:v>
                </c:pt>
                <c:pt idx="148">
                  <c:v>0.42680000000000001</c:v>
                </c:pt>
                <c:pt idx="149">
                  <c:v>0.40889999999999999</c:v>
                </c:pt>
                <c:pt idx="150">
                  <c:v>0.38790000000000002</c:v>
                </c:pt>
                <c:pt idx="151">
                  <c:v>0.36930000000000002</c:v>
                </c:pt>
                <c:pt idx="152">
                  <c:v>0.3705</c:v>
                </c:pt>
                <c:pt idx="153">
                  <c:v>0.37780000000000002</c:v>
                </c:pt>
                <c:pt idx="154">
                  <c:v>0.38979999999999998</c:v>
                </c:pt>
                <c:pt idx="155">
                  <c:v>0.35870000000000002</c:v>
                </c:pt>
                <c:pt idx="156">
                  <c:v>0.37130000000000002</c:v>
                </c:pt>
                <c:pt idx="157">
                  <c:v>0.34820000000000001</c:v>
                </c:pt>
                <c:pt idx="158">
                  <c:v>0.34589999999999999</c:v>
                </c:pt>
                <c:pt idx="159">
                  <c:v>0.34100000000000003</c:v>
                </c:pt>
                <c:pt idx="160">
                  <c:v>0.32979999999999998</c:v>
                </c:pt>
                <c:pt idx="161">
                  <c:v>0.32869999999999999</c:v>
                </c:pt>
                <c:pt idx="162">
                  <c:v>0.33139999999999997</c:v>
                </c:pt>
                <c:pt idx="163">
                  <c:v>0.3422</c:v>
                </c:pt>
                <c:pt idx="164">
                  <c:v>0.34279999999999999</c:v>
                </c:pt>
                <c:pt idx="165">
                  <c:v>0.33029999999999998</c:v>
                </c:pt>
                <c:pt idx="166">
                  <c:v>0.32879999999999998</c:v>
                </c:pt>
                <c:pt idx="167">
                  <c:v>0.33110000000000001</c:v>
                </c:pt>
                <c:pt idx="168">
                  <c:v>0.34599999999999997</c:v>
                </c:pt>
                <c:pt idx="169">
                  <c:v>0.33510000000000001</c:v>
                </c:pt>
                <c:pt idx="170">
                  <c:v>0.32400000000000001</c:v>
                </c:pt>
                <c:pt idx="171">
                  <c:v>0.31969999999999998</c:v>
                </c:pt>
                <c:pt idx="172">
                  <c:v>0.32840000000000003</c:v>
                </c:pt>
                <c:pt idx="173">
                  <c:v>0.31459999999999999</c:v>
                </c:pt>
                <c:pt idx="174">
                  <c:v>0.32050000000000001</c:v>
                </c:pt>
                <c:pt idx="175">
                  <c:v>0.32519999999999999</c:v>
                </c:pt>
                <c:pt idx="176">
                  <c:v>0.33410000000000001</c:v>
                </c:pt>
                <c:pt idx="177">
                  <c:v>0.3382</c:v>
                </c:pt>
                <c:pt idx="178">
                  <c:v>0.34100000000000003</c:v>
                </c:pt>
                <c:pt idx="179">
                  <c:v>0.33110000000000001</c:v>
                </c:pt>
                <c:pt idx="180">
                  <c:v>0.34910000000000002</c:v>
                </c:pt>
                <c:pt idx="181">
                  <c:v>0.35020000000000001</c:v>
                </c:pt>
                <c:pt idx="182">
                  <c:v>0.33900000000000002</c:v>
                </c:pt>
                <c:pt idx="183">
                  <c:v>0.32019999999999998</c:v>
                </c:pt>
                <c:pt idx="184">
                  <c:v>0.30830000000000002</c:v>
                </c:pt>
                <c:pt idx="185">
                  <c:v>0.31019999999999998</c:v>
                </c:pt>
                <c:pt idx="186">
                  <c:v>0.31259999999999999</c:v>
                </c:pt>
                <c:pt idx="187">
                  <c:v>0.33040000000000003</c:v>
                </c:pt>
                <c:pt idx="188">
                  <c:v>0.31019999999999998</c:v>
                </c:pt>
                <c:pt idx="189">
                  <c:v>0.29289999999999999</c:v>
                </c:pt>
                <c:pt idx="190">
                  <c:v>0.29320000000000002</c:v>
                </c:pt>
                <c:pt idx="191">
                  <c:v>0.28910000000000002</c:v>
                </c:pt>
                <c:pt idx="192">
                  <c:v>0.27010000000000001</c:v>
                </c:pt>
                <c:pt idx="193">
                  <c:v>0.26889999999999997</c:v>
                </c:pt>
                <c:pt idx="194">
                  <c:v>0.27060000000000001</c:v>
                </c:pt>
                <c:pt idx="195">
                  <c:v>0.27339999999999998</c:v>
                </c:pt>
                <c:pt idx="196">
                  <c:v>0.27060000000000001</c:v>
                </c:pt>
                <c:pt idx="197">
                  <c:v>0.27100000000000002</c:v>
                </c:pt>
                <c:pt idx="198">
                  <c:v>0.25979999999999998</c:v>
                </c:pt>
                <c:pt idx="199">
                  <c:v>0.26179999999999998</c:v>
                </c:pt>
                <c:pt idx="200">
                  <c:v>0.26</c:v>
                </c:pt>
                <c:pt idx="201">
                  <c:v>0.26090000000000002</c:v>
                </c:pt>
                <c:pt idx="202">
                  <c:v>0.26069999999999999</c:v>
                </c:pt>
                <c:pt idx="203">
                  <c:v>0.26</c:v>
                </c:pt>
                <c:pt idx="204">
                  <c:v>0.27150000000000002</c:v>
                </c:pt>
                <c:pt idx="205">
                  <c:v>0.2757</c:v>
                </c:pt>
                <c:pt idx="206">
                  <c:v>0.26989999999999997</c:v>
                </c:pt>
                <c:pt idx="207">
                  <c:v>0.27200000000000002</c:v>
                </c:pt>
                <c:pt idx="208">
                  <c:v>0.26700000000000002</c:v>
                </c:pt>
                <c:pt idx="209">
                  <c:v>0.26989999999999997</c:v>
                </c:pt>
                <c:pt idx="210">
                  <c:v>0.26700000000000002</c:v>
                </c:pt>
                <c:pt idx="211">
                  <c:v>0.2661</c:v>
                </c:pt>
                <c:pt idx="212">
                  <c:v>0.26250000000000001</c:v>
                </c:pt>
                <c:pt idx="213">
                  <c:v>0.2576</c:v>
                </c:pt>
                <c:pt idx="214">
                  <c:v>0.25319999999999998</c:v>
                </c:pt>
                <c:pt idx="215">
                  <c:v>0.25359999999999999</c:v>
                </c:pt>
                <c:pt idx="216">
                  <c:v>0.2621</c:v>
                </c:pt>
                <c:pt idx="217">
                  <c:v>0.27079999999999999</c:v>
                </c:pt>
                <c:pt idx="218">
                  <c:v>0.25919999999999999</c:v>
                </c:pt>
                <c:pt idx="219">
                  <c:v>0.26050000000000001</c:v>
                </c:pt>
                <c:pt idx="220">
                  <c:v>0.25309999999999999</c:v>
                </c:pt>
                <c:pt idx="221">
                  <c:v>0.24429999999999999</c:v>
                </c:pt>
                <c:pt idx="222">
                  <c:v>0.2394</c:v>
                </c:pt>
                <c:pt idx="223">
                  <c:v>0.23719999999999999</c:v>
                </c:pt>
                <c:pt idx="224">
                  <c:v>0.23430000000000001</c:v>
                </c:pt>
                <c:pt idx="225">
                  <c:v>0.22889999999999999</c:v>
                </c:pt>
                <c:pt idx="226">
                  <c:v>0.22889999999999999</c:v>
                </c:pt>
                <c:pt idx="227">
                  <c:v>0.23100000000000001</c:v>
                </c:pt>
                <c:pt idx="228">
                  <c:v>0.23569999999999999</c:v>
                </c:pt>
                <c:pt idx="229">
                  <c:v>0.23319999999999999</c:v>
                </c:pt>
                <c:pt idx="230">
                  <c:v>0.24129999999999999</c:v>
                </c:pt>
                <c:pt idx="231">
                  <c:v>0.24990000000000001</c:v>
                </c:pt>
                <c:pt idx="232">
                  <c:v>0.2427</c:v>
                </c:pt>
                <c:pt idx="233">
                  <c:v>0.2455</c:v>
                </c:pt>
                <c:pt idx="234">
                  <c:v>0.24160000000000001</c:v>
                </c:pt>
                <c:pt idx="235">
                  <c:v>0.24740000000000001</c:v>
                </c:pt>
                <c:pt idx="236">
                  <c:v>0.25490000000000002</c:v>
                </c:pt>
                <c:pt idx="237">
                  <c:v>0.25319999999999998</c:v>
                </c:pt>
                <c:pt idx="238">
                  <c:v>0.24099999999999999</c:v>
                </c:pt>
                <c:pt idx="239">
                  <c:v>0.24160000000000001</c:v>
                </c:pt>
                <c:pt idx="240">
                  <c:v>0.21690000000000001</c:v>
                </c:pt>
                <c:pt idx="241">
                  <c:v>0.22689999999999999</c:v>
                </c:pt>
                <c:pt idx="242">
                  <c:v>0.2303</c:v>
                </c:pt>
                <c:pt idx="243">
                  <c:v>0.2238</c:v>
                </c:pt>
                <c:pt idx="244">
                  <c:v>0.22090000000000001</c:v>
                </c:pt>
                <c:pt idx="245">
                  <c:v>0.2167</c:v>
                </c:pt>
                <c:pt idx="246">
                  <c:v>0.2127</c:v>
                </c:pt>
                <c:pt idx="247">
                  <c:v>0.2056</c:v>
                </c:pt>
                <c:pt idx="248">
                  <c:v>0.20449999999999999</c:v>
                </c:pt>
                <c:pt idx="249">
                  <c:v>0.19600000000000001</c:v>
                </c:pt>
                <c:pt idx="250">
                  <c:v>0.19400000000000001</c:v>
                </c:pt>
              </c:numCache>
            </c:numRef>
          </c:val>
          <c:smooth val="0"/>
          <c:extLst>
            <c:ext xmlns:c16="http://schemas.microsoft.com/office/drawing/2014/chart" uri="{C3380CC4-5D6E-409C-BE32-E72D297353CC}">
              <c16:uniqueId val="{00000012-7F0D-4D4B-A64C-CDFE76AE6D25}"/>
            </c:ext>
          </c:extLst>
        </c:ser>
        <c:dLbls>
          <c:showLegendKey val="0"/>
          <c:showVal val="0"/>
          <c:showCatName val="0"/>
          <c:showSerName val="0"/>
          <c:showPercent val="0"/>
          <c:showBubbleSize val="0"/>
        </c:dLbls>
        <c:smooth val="0"/>
        <c:axId val="1992607240"/>
        <c:axId val="1992609288"/>
      </c:lineChart>
      <c:dateAx>
        <c:axId val="1992607240"/>
        <c:scaling>
          <c:orientation val="minMax"/>
        </c:scaling>
        <c:delete val="0"/>
        <c:axPos val="b"/>
        <c:numFmt formatCode="[$-409]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O"/>
          </a:p>
        </c:txPr>
        <c:crossAx val="1992609288"/>
        <c:crosses val="autoZero"/>
        <c:auto val="1"/>
        <c:lblOffset val="100"/>
        <c:baseTimeUnit val="days"/>
      </c:dateAx>
      <c:valAx>
        <c:axId val="1992609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O"/>
          </a:p>
        </c:txPr>
        <c:crossAx val="199260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a:lstStyle/>
          <a:p>
            <a:pPr>
              <a:defRPr/>
            </a:pPr>
            <a:r>
              <a:rPr lang="en-US"/>
              <a:t>Portfolio Chart</a:t>
            </a:r>
          </a:p>
        </c:rich>
      </c:tx>
      <c:overlay val="0"/>
    </c:title>
    <c:autoTitleDeleted val="0"/>
    <c:plotArea>
      <c:layout/>
      <c:lineChart>
        <c:grouping val="standard"/>
        <c:varyColors val="0"/>
        <c:ser>
          <c:idx val="0"/>
          <c:order val="0"/>
          <c:tx>
            <c:strRef>
              <c:f>Q6_ii_RawData!$B$1</c:f>
              <c:strCache>
                <c:ptCount val="1"/>
                <c:pt idx="0">
                  <c:v>AMZN</c:v>
                </c:pt>
              </c:strCache>
            </c:strRef>
          </c:tx>
          <c:spPr>
            <a:ln w="28440" cap="rnd">
              <a:solidFill>
                <a:srgbClr val="4F81BD"/>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Q6_ii_RawData!$B$2:$B$252</c:f>
              <c:numCache>
                <c:formatCode>General</c:formatCode>
                <c:ptCount val="251"/>
                <c:pt idx="0">
                  <c:v>1.2822E-2</c:v>
                </c:pt>
                <c:pt idx="1">
                  <c:v>-8.9169999999999996E-3</c:v>
                </c:pt>
                <c:pt idx="2">
                  <c:v>1.7999000000000001E-2</c:v>
                </c:pt>
                <c:pt idx="3">
                  <c:v>1.1983000000000001E-2</c:v>
                </c:pt>
                <c:pt idx="4">
                  <c:v>8.4150000000000006E-3</c:v>
                </c:pt>
                <c:pt idx="5">
                  <c:v>1.0401000000000001E-2</c:v>
                </c:pt>
                <c:pt idx="6">
                  <c:v>-4.3422000000000002E-2</c:v>
                </c:pt>
                <c:pt idx="7">
                  <c:v>2.4605999999999999E-2</c:v>
                </c:pt>
                <c:pt idx="8">
                  <c:v>-6.6210000000000001E-3</c:v>
                </c:pt>
                <c:pt idx="9">
                  <c:v>2.5121000000000001E-2</c:v>
                </c:pt>
                <c:pt idx="10">
                  <c:v>7.1100000000000004E-4</c:v>
                </c:pt>
                <c:pt idx="11">
                  <c:v>-1.897E-3</c:v>
                </c:pt>
                <c:pt idx="12">
                  <c:v>5.4429999999999999E-3</c:v>
                </c:pt>
                <c:pt idx="13">
                  <c:v>-1.2827E-2</c:v>
                </c:pt>
                <c:pt idx="14">
                  <c:v>2.3080000000000002E-3</c:v>
                </c:pt>
                <c:pt idx="15">
                  <c:v>-7.5820000000000002E-3</c:v>
                </c:pt>
                <c:pt idx="16">
                  <c:v>4.1735000000000001E-2</c:v>
                </c:pt>
                <c:pt idx="17">
                  <c:v>-6.3200000000000001E-3</c:v>
                </c:pt>
                <c:pt idx="18">
                  <c:v>-1.5585E-2</c:v>
                </c:pt>
                <c:pt idx="19">
                  <c:v>1.4425E-2</c:v>
                </c:pt>
                <c:pt idx="20">
                  <c:v>-1.0839999999999999E-3</c:v>
                </c:pt>
                <c:pt idx="21">
                  <c:v>-8.8739999999999999E-3</c:v>
                </c:pt>
                <c:pt idx="22">
                  <c:v>1.9050999999999998E-2</c:v>
                </c:pt>
                <c:pt idx="23">
                  <c:v>-1.075E-3</c:v>
                </c:pt>
                <c:pt idx="24">
                  <c:v>1.2279999999999999E-3</c:v>
                </c:pt>
                <c:pt idx="25">
                  <c:v>-1.5613999999999999E-2</c:v>
                </c:pt>
                <c:pt idx="26">
                  <c:v>1.1002E-2</c:v>
                </c:pt>
                <c:pt idx="27">
                  <c:v>-2.0631E-2</c:v>
                </c:pt>
                <c:pt idx="28">
                  <c:v>1.2895E-2</c:v>
                </c:pt>
                <c:pt idx="29">
                  <c:v>1.5564E-2</c:v>
                </c:pt>
                <c:pt idx="30">
                  <c:v>2.6407E-2</c:v>
                </c:pt>
                <c:pt idx="31">
                  <c:v>2.8249999999999998E-3</c:v>
                </c:pt>
                <c:pt idx="32">
                  <c:v>-8.3510000000000008E-3</c:v>
                </c:pt>
                <c:pt idx="33">
                  <c:v>-5.4809999999999998E-3</c:v>
                </c:pt>
                <c:pt idx="34">
                  <c:v>1.8867999999999999E-2</c:v>
                </c:pt>
                <c:pt idx="35">
                  <c:v>-4.0710999999999997E-2</c:v>
                </c:pt>
                <c:pt idx="36">
                  <c:v>3.0800000000000001E-4</c:v>
                </c:pt>
                <c:pt idx="37">
                  <c:v>-9.2739999999999993E-3</c:v>
                </c:pt>
                <c:pt idx="38">
                  <c:v>2.5590000000000001E-3</c:v>
                </c:pt>
                <c:pt idx="39">
                  <c:v>-7.6179999999999998E-3</c:v>
                </c:pt>
                <c:pt idx="40">
                  <c:v>7.7999999999999999E-4</c:v>
                </c:pt>
                <c:pt idx="41">
                  <c:v>3.041E-2</c:v>
                </c:pt>
                <c:pt idx="42">
                  <c:v>1.1057000000000001E-2</c:v>
                </c:pt>
                <c:pt idx="43">
                  <c:v>-1.4997999999999999E-2</c:v>
                </c:pt>
                <c:pt idx="44">
                  <c:v>-2.6780999999999999E-2</c:v>
                </c:pt>
                <c:pt idx="45">
                  <c:v>5.4450000000000002E-3</c:v>
                </c:pt>
                <c:pt idx="46">
                  <c:v>7.9451999999999995E-2</c:v>
                </c:pt>
                <c:pt idx="47">
                  <c:v>1.8808999999999999E-2</c:v>
                </c:pt>
                <c:pt idx="48">
                  <c:v>-1.6160999999999998E-2</c:v>
                </c:pt>
                <c:pt idx="49">
                  <c:v>-1.5048000000000001E-2</c:v>
                </c:pt>
                <c:pt idx="50">
                  <c:v>5.1370000000000001E-3</c:v>
                </c:pt>
                <c:pt idx="51">
                  <c:v>-1.083E-3</c:v>
                </c:pt>
                <c:pt idx="52">
                  <c:v>1.5485000000000001E-2</c:v>
                </c:pt>
                <c:pt idx="53">
                  <c:v>-2.0846E-2</c:v>
                </c:pt>
                <c:pt idx="54">
                  <c:v>-1.9066E-2</c:v>
                </c:pt>
                <c:pt idx="55">
                  <c:v>-8.1030000000000008E-3</c:v>
                </c:pt>
                <c:pt idx="56">
                  <c:v>-5.6889999999999996E-3</c:v>
                </c:pt>
                <c:pt idx="57">
                  <c:v>1.09E-2</c:v>
                </c:pt>
                <c:pt idx="58">
                  <c:v>-3.1979999999999999E-3</c:v>
                </c:pt>
                <c:pt idx="59">
                  <c:v>9.4149999999999998E-3</c:v>
                </c:pt>
                <c:pt idx="60">
                  <c:v>-2.7529999999999999E-2</c:v>
                </c:pt>
                <c:pt idx="61">
                  <c:v>1.0713E-2</c:v>
                </c:pt>
                <c:pt idx="62">
                  <c:v>-9.01E-4</c:v>
                </c:pt>
                <c:pt idx="63">
                  <c:v>1.3207E-2</c:v>
                </c:pt>
                <c:pt idx="64">
                  <c:v>1.1850000000000001E-3</c:v>
                </c:pt>
                <c:pt idx="65">
                  <c:v>2.1533E-2</c:v>
                </c:pt>
                <c:pt idx="66">
                  <c:v>7.9699999999999997E-4</c:v>
                </c:pt>
                <c:pt idx="67">
                  <c:v>-6.1729999999999997E-3</c:v>
                </c:pt>
                <c:pt idx="68">
                  <c:v>-1.4012E-2</c:v>
                </c:pt>
                <c:pt idx="69">
                  <c:v>1.8228000000000001E-2</c:v>
                </c:pt>
                <c:pt idx="70">
                  <c:v>2.7529999999999998E-3</c:v>
                </c:pt>
                <c:pt idx="71">
                  <c:v>3.4625000000000003E-2</c:v>
                </c:pt>
                <c:pt idx="72">
                  <c:v>-1.3154000000000001E-2</c:v>
                </c:pt>
                <c:pt idx="73">
                  <c:v>2.5309000000000002E-2</c:v>
                </c:pt>
                <c:pt idx="74">
                  <c:v>-8.9800000000000004E-4</c:v>
                </c:pt>
                <c:pt idx="75">
                  <c:v>-3.0377000000000001E-2</c:v>
                </c:pt>
                <c:pt idx="76">
                  <c:v>-2.9250000000000001E-3</c:v>
                </c:pt>
                <c:pt idx="77">
                  <c:v>-1.6931000000000002E-2</c:v>
                </c:pt>
                <c:pt idx="78">
                  <c:v>-1.7148E-2</c:v>
                </c:pt>
                <c:pt idx="79">
                  <c:v>-4.5053000000000003E-2</c:v>
                </c:pt>
                <c:pt idx="80">
                  <c:v>-1.6249999999999999E-3</c:v>
                </c:pt>
                <c:pt idx="81">
                  <c:v>1.6514000000000001E-2</c:v>
                </c:pt>
                <c:pt idx="82">
                  <c:v>-4.1133000000000003E-2</c:v>
                </c:pt>
                <c:pt idx="83">
                  <c:v>0</c:v>
                </c:pt>
                <c:pt idx="84">
                  <c:v>0</c:v>
                </c:pt>
                <c:pt idx="85">
                  <c:v>9.0080000000000004E-3</c:v>
                </c:pt>
                <c:pt idx="86">
                  <c:v>1.8239999999999999E-2</c:v>
                </c:pt>
                <c:pt idx="87">
                  <c:v>-3.7301000000000001E-2</c:v>
                </c:pt>
                <c:pt idx="88">
                  <c:v>1.8116E-2</c:v>
                </c:pt>
                <c:pt idx="89">
                  <c:v>-8.2229999999999994E-3</c:v>
                </c:pt>
                <c:pt idx="90">
                  <c:v>1.5753E-2</c:v>
                </c:pt>
                <c:pt idx="91">
                  <c:v>2.3419999999999999E-3</c:v>
                </c:pt>
                <c:pt idx="92">
                  <c:v>9.4669999999999997E-3</c:v>
                </c:pt>
                <c:pt idx="93">
                  <c:v>1.7987E-2</c:v>
                </c:pt>
                <c:pt idx="94">
                  <c:v>3.7859999999999999E-3</c:v>
                </c:pt>
                <c:pt idx="95">
                  <c:v>-1.9380999999999999E-2</c:v>
                </c:pt>
                <c:pt idx="96">
                  <c:v>2.1042000000000002E-2</c:v>
                </c:pt>
                <c:pt idx="97">
                  <c:v>-8.1810000000000008E-3</c:v>
                </c:pt>
                <c:pt idx="98">
                  <c:v>-2.5732999999999999E-2</c:v>
                </c:pt>
                <c:pt idx="99">
                  <c:v>2.1050000000000001E-3</c:v>
                </c:pt>
                <c:pt idx="100">
                  <c:v>-2.5478000000000001E-2</c:v>
                </c:pt>
                <c:pt idx="101">
                  <c:v>1.1044E-2</c:v>
                </c:pt>
                <c:pt idx="102">
                  <c:v>1.5678999999999998E-2</c:v>
                </c:pt>
                <c:pt idx="103">
                  <c:v>-5.7387000000000001E-2</c:v>
                </c:pt>
                <c:pt idx="104">
                  <c:v>-1.5107000000000001E-2</c:v>
                </c:pt>
                <c:pt idx="105">
                  <c:v>6.6095000000000001E-2</c:v>
                </c:pt>
                <c:pt idx="106">
                  <c:v>3.8169000000000002E-2</c:v>
                </c:pt>
                <c:pt idx="107">
                  <c:v>2.859E-3</c:v>
                </c:pt>
                <c:pt idx="108">
                  <c:v>2.8955000000000002E-2</c:v>
                </c:pt>
                <c:pt idx="109">
                  <c:v>7.7799999999999996E-3</c:v>
                </c:pt>
                <c:pt idx="110">
                  <c:v>3.8310000000000002E-3</c:v>
                </c:pt>
                <c:pt idx="111">
                  <c:v>8.1910000000000004E-3</c:v>
                </c:pt>
                <c:pt idx="112">
                  <c:v>2.1031000000000001E-2</c:v>
                </c:pt>
                <c:pt idx="113">
                  <c:v>-4.424E-3</c:v>
                </c:pt>
                <c:pt idx="114">
                  <c:v>-1.0470999999999999E-2</c:v>
                </c:pt>
                <c:pt idx="115">
                  <c:v>2.0833999999999998E-2</c:v>
                </c:pt>
                <c:pt idx="116">
                  <c:v>-6.7799999999999996E-3</c:v>
                </c:pt>
                <c:pt idx="117">
                  <c:v>2.2262000000000001E-2</c:v>
                </c:pt>
                <c:pt idx="118">
                  <c:v>-1.7994E-2</c:v>
                </c:pt>
                <c:pt idx="119">
                  <c:v>-2.5869999999999999E-3</c:v>
                </c:pt>
                <c:pt idx="120">
                  <c:v>1.6319E-2</c:v>
                </c:pt>
                <c:pt idx="121">
                  <c:v>6.522E-3</c:v>
                </c:pt>
                <c:pt idx="122">
                  <c:v>-1.5377999999999999E-2</c:v>
                </c:pt>
                <c:pt idx="123">
                  <c:v>1.9338999999999999E-2</c:v>
                </c:pt>
                <c:pt idx="124">
                  <c:v>2.04E-4</c:v>
                </c:pt>
                <c:pt idx="125">
                  <c:v>6.7239999999999999E-3</c:v>
                </c:pt>
                <c:pt idx="126">
                  <c:v>-4.7499999999999999E-3</c:v>
                </c:pt>
                <c:pt idx="127">
                  <c:v>-4.8409999999999998E-3</c:v>
                </c:pt>
                <c:pt idx="128">
                  <c:v>-1.573E-3</c:v>
                </c:pt>
                <c:pt idx="129">
                  <c:v>6.4140000000000004E-3</c:v>
                </c:pt>
                <c:pt idx="130">
                  <c:v>-1.5007E-2</c:v>
                </c:pt>
                <c:pt idx="131">
                  <c:v>1.3986E-2</c:v>
                </c:pt>
                <c:pt idx="132">
                  <c:v>-1.6198000000000001E-2</c:v>
                </c:pt>
                <c:pt idx="133">
                  <c:v>1.6198000000000001E-2</c:v>
                </c:pt>
                <c:pt idx="134">
                  <c:v>3.6700000000000001E-3</c:v>
                </c:pt>
                <c:pt idx="135">
                  <c:v>-1.0433E-2</c:v>
                </c:pt>
                <c:pt idx="136">
                  <c:v>1.0840000000000001E-2</c:v>
                </c:pt>
                <c:pt idx="137">
                  <c:v>9.1789999999999997E-3</c:v>
                </c:pt>
                <c:pt idx="138">
                  <c:v>-9.5860000000000008E-3</c:v>
                </c:pt>
                <c:pt idx="139">
                  <c:v>1.7149999999999999E-2</c:v>
                </c:pt>
                <c:pt idx="140">
                  <c:v>2.6971999999999999E-2</c:v>
                </c:pt>
                <c:pt idx="141">
                  <c:v>-1.8190000000000001E-3</c:v>
                </c:pt>
                <c:pt idx="142">
                  <c:v>-1.0918000000000001E-2</c:v>
                </c:pt>
                <c:pt idx="143">
                  <c:v>1.1243E-2</c:v>
                </c:pt>
                <c:pt idx="144">
                  <c:v>-2.7339999999999999E-3</c:v>
                </c:pt>
                <c:pt idx="145">
                  <c:v>-6.4999999999999994E-5</c:v>
                </c:pt>
                <c:pt idx="146">
                  <c:v>-4.5600000000000003E-4</c:v>
                </c:pt>
                <c:pt idx="147">
                  <c:v>2.61E-4</c:v>
                </c:pt>
                <c:pt idx="148">
                  <c:v>-9.4330000000000004E-3</c:v>
                </c:pt>
                <c:pt idx="149">
                  <c:v>-1.3317000000000001E-2</c:v>
                </c:pt>
                <c:pt idx="150">
                  <c:v>-9.7859999999999996E-3</c:v>
                </c:pt>
                <c:pt idx="151">
                  <c:v>-2.6619E-2</c:v>
                </c:pt>
                <c:pt idx="152">
                  <c:v>4.6239999999999996E-3</c:v>
                </c:pt>
                <c:pt idx="153">
                  <c:v>2.623E-2</c:v>
                </c:pt>
                <c:pt idx="154">
                  <c:v>1.511E-2</c:v>
                </c:pt>
                <c:pt idx="155">
                  <c:v>1.5471E-2</c:v>
                </c:pt>
                <c:pt idx="156">
                  <c:v>9.3880000000000005E-3</c:v>
                </c:pt>
                <c:pt idx="157">
                  <c:v>-3.6150000000000002E-3</c:v>
                </c:pt>
                <c:pt idx="158">
                  <c:v>-9.4870000000000006E-3</c:v>
                </c:pt>
                <c:pt idx="159">
                  <c:v>-9.5119999999999996E-3</c:v>
                </c:pt>
                <c:pt idx="160">
                  <c:v>1.1730000000000001E-2</c:v>
                </c:pt>
                <c:pt idx="161">
                  <c:v>1.1916E-2</c:v>
                </c:pt>
                <c:pt idx="162">
                  <c:v>-3.6120000000000002E-3</c:v>
                </c:pt>
                <c:pt idx="163">
                  <c:v>7.979E-3</c:v>
                </c:pt>
                <c:pt idx="164">
                  <c:v>5.4330000000000003E-3</c:v>
                </c:pt>
                <c:pt idx="165">
                  <c:v>5.594E-3</c:v>
                </c:pt>
                <c:pt idx="166">
                  <c:v>8.6470000000000002E-3</c:v>
                </c:pt>
                <c:pt idx="167">
                  <c:v>1.3358999999999999E-2</c:v>
                </c:pt>
                <c:pt idx="168">
                  <c:v>-1.4114E-2</c:v>
                </c:pt>
                <c:pt idx="169">
                  <c:v>-2.419E-2</c:v>
                </c:pt>
                <c:pt idx="170">
                  <c:v>2.5949E-2</c:v>
                </c:pt>
                <c:pt idx="171">
                  <c:v>7.5726000000000002E-2</c:v>
                </c:pt>
                <c:pt idx="172">
                  <c:v>-8.7690000000000008E-3</c:v>
                </c:pt>
                <c:pt idx="173">
                  <c:v>-6.8339999999999998E-3</c:v>
                </c:pt>
                <c:pt idx="174">
                  <c:v>8.1250000000000003E-3</c:v>
                </c:pt>
                <c:pt idx="175">
                  <c:v>-4.0540000000000003E-3</c:v>
                </c:pt>
                <c:pt idx="176">
                  <c:v>2.6780999999999999E-2</c:v>
                </c:pt>
                <c:pt idx="177">
                  <c:v>-1.2168999999999999E-2</c:v>
                </c:pt>
                <c:pt idx="178">
                  <c:v>-2.1703E-2</c:v>
                </c:pt>
                <c:pt idx="179">
                  <c:v>1.3780000000000001E-2</c:v>
                </c:pt>
                <c:pt idx="180">
                  <c:v>-6.9249999999999997E-3</c:v>
                </c:pt>
                <c:pt idx="181">
                  <c:v>-1.709E-3</c:v>
                </c:pt>
                <c:pt idx="182">
                  <c:v>-1.4439E-2</c:v>
                </c:pt>
                <c:pt idx="183">
                  <c:v>8.9969999999999998E-3</c:v>
                </c:pt>
                <c:pt idx="184">
                  <c:v>3.4913E-2</c:v>
                </c:pt>
                <c:pt idx="185">
                  <c:v>2.346E-3</c:v>
                </c:pt>
                <c:pt idx="186">
                  <c:v>-1.487E-3</c:v>
                </c:pt>
                <c:pt idx="187">
                  <c:v>-6.8339999999999998E-3</c:v>
                </c:pt>
                <c:pt idx="188">
                  <c:v>-2.1919999999999999E-3</c:v>
                </c:pt>
                <c:pt idx="189">
                  <c:v>2.0577000000000002E-2</c:v>
                </c:pt>
                <c:pt idx="190">
                  <c:v>8.2260000000000007E-3</c:v>
                </c:pt>
                <c:pt idx="191">
                  <c:v>-3.5980000000000001E-3</c:v>
                </c:pt>
                <c:pt idx="192">
                  <c:v>-1.9675999999999999E-2</c:v>
                </c:pt>
                <c:pt idx="193">
                  <c:v>-3.509E-3</c:v>
                </c:pt>
                <c:pt idx="194">
                  <c:v>1.8897000000000001E-2</c:v>
                </c:pt>
                <c:pt idx="195">
                  <c:v>-8.3479999999999995E-3</c:v>
                </c:pt>
                <c:pt idx="196">
                  <c:v>-1.9522000000000001E-2</c:v>
                </c:pt>
                <c:pt idx="197">
                  <c:v>1.975E-2</c:v>
                </c:pt>
                <c:pt idx="198">
                  <c:v>6.6490000000000004E-3</c:v>
                </c:pt>
                <c:pt idx="199">
                  <c:v>1.2326999999999999E-2</c:v>
                </c:pt>
                <c:pt idx="200">
                  <c:v>-2.4521999999999999E-2</c:v>
                </c:pt>
                <c:pt idx="201">
                  <c:v>3.4400000000000001E-4</c:v>
                </c:pt>
                <c:pt idx="202">
                  <c:v>8.1060000000000004E-3</c:v>
                </c:pt>
                <c:pt idx="203">
                  <c:v>1.2710000000000001E-2</c:v>
                </c:pt>
                <c:pt idx="204">
                  <c:v>0</c:v>
                </c:pt>
                <c:pt idx="205">
                  <c:v>4.0330000000000001E-3</c:v>
                </c:pt>
                <c:pt idx="206">
                  <c:v>4.6849999999999999E-3</c:v>
                </c:pt>
                <c:pt idx="207">
                  <c:v>-7.8770000000000003E-3</c:v>
                </c:pt>
                <c:pt idx="208">
                  <c:v>8.5439999999999995E-3</c:v>
                </c:pt>
                <c:pt idx="209">
                  <c:v>3.0539999999999999E-3</c:v>
                </c:pt>
                <c:pt idx="210">
                  <c:v>3.2659999999999998E-3</c:v>
                </c:pt>
                <c:pt idx="211">
                  <c:v>-1.5479999999999999E-3</c:v>
                </c:pt>
                <c:pt idx="212">
                  <c:v>9.4739999999999998E-3</c:v>
                </c:pt>
                <c:pt idx="213">
                  <c:v>-1.3299999999999999E-2</c:v>
                </c:pt>
                <c:pt idx="214">
                  <c:v>2.7777E-2</c:v>
                </c:pt>
                <c:pt idx="215">
                  <c:v>6.4800000000000003E-4</c:v>
                </c:pt>
                <c:pt idx="216">
                  <c:v>2.5890000000000002E-3</c:v>
                </c:pt>
                <c:pt idx="217">
                  <c:v>1.5070000000000001E-3</c:v>
                </c:pt>
                <c:pt idx="218">
                  <c:v>1.6534E-2</c:v>
                </c:pt>
                <c:pt idx="219">
                  <c:v>-1.5566E-2</c:v>
                </c:pt>
                <c:pt idx="220">
                  <c:v>-1.3577000000000001E-2</c:v>
                </c:pt>
                <c:pt idx="221">
                  <c:v>-1.635E-3</c:v>
                </c:pt>
                <c:pt idx="222">
                  <c:v>-1.119E-2</c:v>
                </c:pt>
                <c:pt idx="223">
                  <c:v>-1.1429E-2</c:v>
                </c:pt>
                <c:pt idx="224">
                  <c:v>-2.5944999999999999E-2</c:v>
                </c:pt>
                <c:pt idx="225">
                  <c:v>1.4779E-2</c:v>
                </c:pt>
                <c:pt idx="226">
                  <c:v>1.295E-2</c:v>
                </c:pt>
                <c:pt idx="227">
                  <c:v>-1.6566999999999998E-2</c:v>
                </c:pt>
                <c:pt idx="228">
                  <c:v>-1.6674000000000001E-2</c:v>
                </c:pt>
                <c:pt idx="229">
                  <c:v>3.3687000000000002E-2</c:v>
                </c:pt>
                <c:pt idx="230">
                  <c:v>7.4330000000000004E-3</c:v>
                </c:pt>
                <c:pt idx="231">
                  <c:v>-3.3489999999999999E-2</c:v>
                </c:pt>
                <c:pt idx="232">
                  <c:v>2.2599999999999999E-2</c:v>
                </c:pt>
                <c:pt idx="233">
                  <c:v>3.1454999999999997E-2</c:v>
                </c:pt>
                <c:pt idx="234">
                  <c:v>8.0339999999999995E-3</c:v>
                </c:pt>
                <c:pt idx="235">
                  <c:v>1.3283E-2</c:v>
                </c:pt>
                <c:pt idx="236">
                  <c:v>3.1799999999999998E-4</c:v>
                </c:pt>
                <c:pt idx="237">
                  <c:v>-4.0340000000000003E-3</c:v>
                </c:pt>
                <c:pt idx="238">
                  <c:v>7.9469999999999992E-3</c:v>
                </c:pt>
                <c:pt idx="239">
                  <c:v>-1.0717000000000001E-2</c:v>
                </c:pt>
                <c:pt idx="240">
                  <c:v>-4.8659999999999997E-3</c:v>
                </c:pt>
                <c:pt idx="241">
                  <c:v>2.676E-3</c:v>
                </c:pt>
                <c:pt idx="242">
                  <c:v>-5.79E-3</c:v>
                </c:pt>
                <c:pt idx="243">
                  <c:v>-1.277E-2</c:v>
                </c:pt>
                <c:pt idx="244">
                  <c:v>5.8100000000000001E-3</c:v>
                </c:pt>
                <c:pt idx="245">
                  <c:v>-6.3E-3</c:v>
                </c:pt>
                <c:pt idx="246">
                  <c:v>-2.127E-3</c:v>
                </c:pt>
                <c:pt idx="247">
                  <c:v>-1.0900000000000001E-4</c:v>
                </c:pt>
                <c:pt idx="248">
                  <c:v>-1.1423000000000001E-2</c:v>
                </c:pt>
                <c:pt idx="249">
                  <c:v>-1.658E-3</c:v>
                </c:pt>
                <c:pt idx="250">
                  <c:v>1.8075000000000001</c:v>
                </c:pt>
              </c:numCache>
            </c:numRef>
          </c:val>
          <c:smooth val="0"/>
          <c:extLst>
            <c:ext xmlns:c16="http://schemas.microsoft.com/office/drawing/2014/chart" uri="{C3380CC4-5D6E-409C-BE32-E72D297353CC}">
              <c16:uniqueId val="{00000000-C12E-4974-81F6-4048F8F19A91}"/>
            </c:ext>
          </c:extLst>
        </c:ser>
        <c:ser>
          <c:idx val="1"/>
          <c:order val="1"/>
          <c:tx>
            <c:strRef>
              <c:f>Q6_ii_RawData!$C$1</c:f>
              <c:strCache>
                <c:ptCount val="1"/>
                <c:pt idx="0">
                  <c:v>CCL</c:v>
                </c:pt>
              </c:strCache>
            </c:strRef>
          </c:tx>
          <c:spPr>
            <a:ln w="28440" cap="rnd">
              <a:solidFill>
                <a:srgbClr val="C0504D"/>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Q6_ii_RawData!$C$2:$C$252</c:f>
              <c:numCache>
                <c:formatCode>General</c:formatCode>
                <c:ptCount val="251"/>
                <c:pt idx="0">
                  <c:v>8.8229999999999992E-3</c:v>
                </c:pt>
                <c:pt idx="1">
                  <c:v>-1.3268E-2</c:v>
                </c:pt>
                <c:pt idx="2">
                  <c:v>5.3744E-2</c:v>
                </c:pt>
                <c:pt idx="3">
                  <c:v>2.7469E-2</c:v>
                </c:pt>
                <c:pt idx="4">
                  <c:v>9.7999999999999997E-3</c:v>
                </c:pt>
                <c:pt idx="5">
                  <c:v>3.7496000000000002E-2</c:v>
                </c:pt>
                <c:pt idx="6">
                  <c:v>2.0156E-2</c:v>
                </c:pt>
                <c:pt idx="7">
                  <c:v>-2.1722000000000002E-2</c:v>
                </c:pt>
                <c:pt idx="8">
                  <c:v>2.6322000000000002E-2</c:v>
                </c:pt>
                <c:pt idx="9">
                  <c:v>0.117358</c:v>
                </c:pt>
                <c:pt idx="10">
                  <c:v>4.1253999999999999E-2</c:v>
                </c:pt>
                <c:pt idx="11">
                  <c:v>1.6806999999999999E-2</c:v>
                </c:pt>
                <c:pt idx="12">
                  <c:v>3.2788999999999999E-2</c:v>
                </c:pt>
                <c:pt idx="13">
                  <c:v>-2.0049000000000001E-2</c:v>
                </c:pt>
                <c:pt idx="14">
                  <c:v>6.3070000000000001E-3</c:v>
                </c:pt>
                <c:pt idx="15">
                  <c:v>-6.2600000000000004E-4</c:v>
                </c:pt>
                <c:pt idx="16">
                  <c:v>-8.2150000000000001E-3</c:v>
                </c:pt>
                <c:pt idx="17">
                  <c:v>2.5339999999999998E-3</c:v>
                </c:pt>
                <c:pt idx="18">
                  <c:v>-7.8990000000000005E-2</c:v>
                </c:pt>
                <c:pt idx="19">
                  <c:v>8.4670999999999996E-2</c:v>
                </c:pt>
                <c:pt idx="20">
                  <c:v>8.4434999999999996E-2</c:v>
                </c:pt>
                <c:pt idx="21">
                  <c:v>-7.5469999999999999E-3</c:v>
                </c:pt>
                <c:pt idx="22">
                  <c:v>9.2874999999999999E-2</c:v>
                </c:pt>
                <c:pt idx="23">
                  <c:v>6.8799999999999998E-3</c:v>
                </c:pt>
                <c:pt idx="24">
                  <c:v>1.3096999999999999E-2</c:v>
                </c:pt>
                <c:pt idx="25">
                  <c:v>-1.8388000000000002E-2</c:v>
                </c:pt>
                <c:pt idx="26">
                  <c:v>9.4999999999999998E-3</c:v>
                </c:pt>
                <c:pt idx="27">
                  <c:v>1.3563E-2</c:v>
                </c:pt>
                <c:pt idx="28">
                  <c:v>-2.0944999999999998E-2</c:v>
                </c:pt>
                <c:pt idx="29">
                  <c:v>-3.6637999999999997E-2</c:v>
                </c:pt>
                <c:pt idx="30">
                  <c:v>-2.6138000000000002E-2</c:v>
                </c:pt>
                <c:pt idx="31">
                  <c:v>-2.9732999999999999E-2</c:v>
                </c:pt>
                <c:pt idx="32">
                  <c:v>2.7477999999999999E-2</c:v>
                </c:pt>
                <c:pt idx="33">
                  <c:v>3.0034999999999999E-2</c:v>
                </c:pt>
                <c:pt idx="34">
                  <c:v>-5.4920000000000004E-3</c:v>
                </c:pt>
                <c:pt idx="35">
                  <c:v>-2.7935000000000001E-2</c:v>
                </c:pt>
                <c:pt idx="36">
                  <c:v>1.2945E-2</c:v>
                </c:pt>
                <c:pt idx="37">
                  <c:v>-1.676E-3</c:v>
                </c:pt>
                <c:pt idx="38">
                  <c:v>-2.2665999999999999E-2</c:v>
                </c:pt>
                <c:pt idx="39">
                  <c:v>1.1396999999999999E-2</c:v>
                </c:pt>
                <c:pt idx="40">
                  <c:v>3.1785000000000001E-2</c:v>
                </c:pt>
                <c:pt idx="41">
                  <c:v>1.4707E-2</c:v>
                </c:pt>
                <c:pt idx="42">
                  <c:v>1.8752999999999999E-2</c:v>
                </c:pt>
                <c:pt idx="43">
                  <c:v>-4.6167E-2</c:v>
                </c:pt>
                <c:pt idx="44">
                  <c:v>-1.5119E-2</c:v>
                </c:pt>
                <c:pt idx="45">
                  <c:v>-9.0720000000000002E-3</c:v>
                </c:pt>
                <c:pt idx="46">
                  <c:v>-2.3045E-2</c:v>
                </c:pt>
                <c:pt idx="47">
                  <c:v>5.0013000000000002E-2</c:v>
                </c:pt>
                <c:pt idx="48">
                  <c:v>-6.6769999999999998E-3</c:v>
                </c:pt>
                <c:pt idx="49">
                  <c:v>-3.6946E-2</c:v>
                </c:pt>
                <c:pt idx="50">
                  <c:v>5.1989999999999996E-3</c:v>
                </c:pt>
                <c:pt idx="51">
                  <c:v>-3.3387E-2</c:v>
                </c:pt>
                <c:pt idx="52">
                  <c:v>2.385E-3</c:v>
                </c:pt>
                <c:pt idx="53">
                  <c:v>-1.3159000000000001E-2</c:v>
                </c:pt>
                <c:pt idx="54">
                  <c:v>-2.6228000000000001E-2</c:v>
                </c:pt>
                <c:pt idx="55">
                  <c:v>-2.3768999999999998E-2</c:v>
                </c:pt>
                <c:pt idx="56">
                  <c:v>-1.3377999999999999E-2</c:v>
                </c:pt>
                <c:pt idx="57">
                  <c:v>7.6649999999999999E-3</c:v>
                </c:pt>
                <c:pt idx="58">
                  <c:v>-3.1900000000000001E-3</c:v>
                </c:pt>
                <c:pt idx="59">
                  <c:v>3.6984000000000003E-2</c:v>
                </c:pt>
                <c:pt idx="60">
                  <c:v>-3.3794999999999999E-2</c:v>
                </c:pt>
                <c:pt idx="61">
                  <c:v>1.2019999999999999E-2</c:v>
                </c:pt>
                <c:pt idx="62">
                  <c:v>-1.2019999999999999E-2</c:v>
                </c:pt>
                <c:pt idx="63">
                  <c:v>2.0788999999999998E-2</c:v>
                </c:pt>
                <c:pt idx="64">
                  <c:v>-1.0654E-2</c:v>
                </c:pt>
                <c:pt idx="65">
                  <c:v>-3.1570000000000001E-3</c:v>
                </c:pt>
                <c:pt idx="66">
                  <c:v>-5.7060000000000001E-3</c:v>
                </c:pt>
                <c:pt idx="67">
                  <c:v>-2.3148999999999999E-2</c:v>
                </c:pt>
                <c:pt idx="68">
                  <c:v>3.895E-3</c:v>
                </c:pt>
                <c:pt idx="69">
                  <c:v>-8.4609999999999998E-3</c:v>
                </c:pt>
                <c:pt idx="70">
                  <c:v>0</c:v>
                </c:pt>
                <c:pt idx="71">
                  <c:v>1.1698E-2</c:v>
                </c:pt>
                <c:pt idx="72">
                  <c:v>-1.292E-3</c:v>
                </c:pt>
                <c:pt idx="73">
                  <c:v>-2.8875000000000001E-2</c:v>
                </c:pt>
                <c:pt idx="74">
                  <c:v>3.9809999999999998E-2</c:v>
                </c:pt>
                <c:pt idx="75">
                  <c:v>-2.8556000000000002E-2</c:v>
                </c:pt>
                <c:pt idx="76">
                  <c:v>-9.9229999999999995E-3</c:v>
                </c:pt>
                <c:pt idx="77">
                  <c:v>3.3210000000000002E-3</c:v>
                </c:pt>
                <c:pt idx="78">
                  <c:v>-2.9593999999999999E-2</c:v>
                </c:pt>
                <c:pt idx="79">
                  <c:v>-1.3747000000000001E-2</c:v>
                </c:pt>
                <c:pt idx="80">
                  <c:v>-2.8067999999999999E-2</c:v>
                </c:pt>
                <c:pt idx="81">
                  <c:v>-1.074E-2</c:v>
                </c:pt>
                <c:pt idx="82">
                  <c:v>-1.0119E-2</c:v>
                </c:pt>
                <c:pt idx="83">
                  <c:v>1.5862999999999999E-2</c:v>
                </c:pt>
                <c:pt idx="84">
                  <c:v>3.2375000000000001E-2</c:v>
                </c:pt>
                <c:pt idx="85">
                  <c:v>-5.1147999999999999E-2</c:v>
                </c:pt>
                <c:pt idx="86">
                  <c:v>-5.8529999999999997E-3</c:v>
                </c:pt>
                <c:pt idx="87">
                  <c:v>-6.8255999999999997E-2</c:v>
                </c:pt>
                <c:pt idx="88">
                  <c:v>2.7102999999999999E-2</c:v>
                </c:pt>
                <c:pt idx="89">
                  <c:v>1.5913E-2</c:v>
                </c:pt>
                <c:pt idx="90">
                  <c:v>-3.0109999999999998E-3</c:v>
                </c:pt>
                <c:pt idx="91">
                  <c:v>-4.3938999999999999E-2</c:v>
                </c:pt>
                <c:pt idx="92">
                  <c:v>1.6410000000000001E-2</c:v>
                </c:pt>
                <c:pt idx="93">
                  <c:v>-1.9566E-2</c:v>
                </c:pt>
                <c:pt idx="94">
                  <c:v>-3.9630000000000004E-3</c:v>
                </c:pt>
                <c:pt idx="95">
                  <c:v>-2.7352000000000001E-2</c:v>
                </c:pt>
                <c:pt idx="96">
                  <c:v>8.1200000000000005E-3</c:v>
                </c:pt>
                <c:pt idx="97">
                  <c:v>1.1266999999999999E-2</c:v>
                </c:pt>
                <c:pt idx="98">
                  <c:v>-6.6997000000000001E-2</c:v>
                </c:pt>
                <c:pt idx="99">
                  <c:v>-2.5995999999999998E-2</c:v>
                </c:pt>
                <c:pt idx="100">
                  <c:v>-3.2121999999999998E-2</c:v>
                </c:pt>
                <c:pt idx="101">
                  <c:v>3.124E-2</c:v>
                </c:pt>
                <c:pt idx="102">
                  <c:v>6.1339999999999997E-3</c:v>
                </c:pt>
                <c:pt idx="103">
                  <c:v>-1.5848000000000001E-2</c:v>
                </c:pt>
                <c:pt idx="104">
                  <c:v>8.8389999999999996E-3</c:v>
                </c:pt>
                <c:pt idx="105">
                  <c:v>-2.1333999999999999E-2</c:v>
                </c:pt>
                <c:pt idx="106">
                  <c:v>2.3963999999999999E-2</c:v>
                </c:pt>
                <c:pt idx="107">
                  <c:v>5.2560000000000003E-3</c:v>
                </c:pt>
                <c:pt idx="108">
                  <c:v>-1.4063000000000001E-2</c:v>
                </c:pt>
                <c:pt idx="109">
                  <c:v>5.1732E-2</c:v>
                </c:pt>
                <c:pt idx="110">
                  <c:v>5.3190000000000001E-2</c:v>
                </c:pt>
                <c:pt idx="111">
                  <c:v>-2.3380999999999999E-2</c:v>
                </c:pt>
                <c:pt idx="112">
                  <c:v>2.4174000000000001E-2</c:v>
                </c:pt>
                <c:pt idx="113">
                  <c:v>1.8142999999999999E-2</c:v>
                </c:pt>
                <c:pt idx="114">
                  <c:v>-3.8244E-2</c:v>
                </c:pt>
                <c:pt idx="115">
                  <c:v>3.5901000000000002E-2</c:v>
                </c:pt>
                <c:pt idx="116">
                  <c:v>1.5659999999999999E-3</c:v>
                </c:pt>
                <c:pt idx="117">
                  <c:v>8.3288000000000001E-2</c:v>
                </c:pt>
                <c:pt idx="118">
                  <c:v>4.7796999999999999E-2</c:v>
                </c:pt>
                <c:pt idx="119">
                  <c:v>1.6337999999999998E-2</c:v>
                </c:pt>
                <c:pt idx="120">
                  <c:v>-1.358E-3</c:v>
                </c:pt>
                <c:pt idx="121">
                  <c:v>-1.4981E-2</c:v>
                </c:pt>
                <c:pt idx="122">
                  <c:v>-2.5722999999999999E-2</c:v>
                </c:pt>
                <c:pt idx="123">
                  <c:v>1.8832000000000002E-2</c:v>
                </c:pt>
                <c:pt idx="124">
                  <c:v>-4.1529999999999996E-3</c:v>
                </c:pt>
                <c:pt idx="125">
                  <c:v>1.4466E-2</c:v>
                </c:pt>
                <c:pt idx="126">
                  <c:v>6.87E-4</c:v>
                </c:pt>
                <c:pt idx="127">
                  <c:v>1.8957000000000002E-2</c:v>
                </c:pt>
                <c:pt idx="128">
                  <c:v>1.0009000000000001E-2</c:v>
                </c:pt>
                <c:pt idx="129">
                  <c:v>4.5434000000000002E-2</c:v>
                </c:pt>
                <c:pt idx="130">
                  <c:v>3.6754000000000002E-2</c:v>
                </c:pt>
                <c:pt idx="131">
                  <c:v>9.1319999999999995E-3</c:v>
                </c:pt>
                <c:pt idx="132">
                  <c:v>5.7696999999999998E-2</c:v>
                </c:pt>
                <c:pt idx="133">
                  <c:v>2.5416000000000001E-2</c:v>
                </c:pt>
                <c:pt idx="134">
                  <c:v>9.9909999999999999E-3</c:v>
                </c:pt>
                <c:pt idx="135">
                  <c:v>-2.6863000000000001E-2</c:v>
                </c:pt>
                <c:pt idx="136">
                  <c:v>1.0718E-2</c:v>
                </c:pt>
                <c:pt idx="137">
                  <c:v>2.4937000000000001E-2</c:v>
                </c:pt>
                <c:pt idx="138">
                  <c:v>2.7535E-2</c:v>
                </c:pt>
                <c:pt idx="139">
                  <c:v>-9.0919999999999994E-3</c:v>
                </c:pt>
                <c:pt idx="140">
                  <c:v>-1.3527000000000001E-2</c:v>
                </c:pt>
                <c:pt idx="141">
                  <c:v>1.8884000000000001E-2</c:v>
                </c:pt>
                <c:pt idx="142">
                  <c:v>-3.4802E-2</c:v>
                </c:pt>
                <c:pt idx="143">
                  <c:v>6.0134E-2</c:v>
                </c:pt>
                <c:pt idx="144">
                  <c:v>-1.3641E-2</c:v>
                </c:pt>
                <c:pt idx="145">
                  <c:v>-1.7047E-2</c:v>
                </c:pt>
                <c:pt idx="146">
                  <c:v>-3.7699999999999999E-3</c:v>
                </c:pt>
                <c:pt idx="147">
                  <c:v>6.9870000000000002E-3</c:v>
                </c:pt>
                <c:pt idx="148">
                  <c:v>-6.9870000000000002E-3</c:v>
                </c:pt>
                <c:pt idx="149">
                  <c:v>-6.9805000000000006E-2</c:v>
                </c:pt>
                <c:pt idx="150">
                  <c:v>-5.5896000000000001E-2</c:v>
                </c:pt>
                <c:pt idx="151">
                  <c:v>3.0123E-2</c:v>
                </c:pt>
                <c:pt idx="152">
                  <c:v>2.8088999999999999E-2</c:v>
                </c:pt>
                <c:pt idx="153">
                  <c:v>1.1529999999999999E-3</c:v>
                </c:pt>
                <c:pt idx="154">
                  <c:v>1.7240000000000001E-3</c:v>
                </c:pt>
                <c:pt idx="155">
                  <c:v>2.2755999999999998E-2</c:v>
                </c:pt>
                <c:pt idx="156">
                  <c:v>-1.4163E-2</c:v>
                </c:pt>
                <c:pt idx="157">
                  <c:v>-3.3051999999999998E-2</c:v>
                </c:pt>
                <c:pt idx="158">
                  <c:v>4.1139999999999996E-3</c:v>
                </c:pt>
                <c:pt idx="159">
                  <c:v>-1.0031999999999999E-2</c:v>
                </c:pt>
                <c:pt idx="160">
                  <c:v>2.4608000000000001E-2</c:v>
                </c:pt>
                <c:pt idx="161">
                  <c:v>2.8909999999999999E-3</c:v>
                </c:pt>
                <c:pt idx="162">
                  <c:v>-4.0634000000000003E-2</c:v>
                </c:pt>
                <c:pt idx="163">
                  <c:v>-2.3716000000000001E-2</c:v>
                </c:pt>
                <c:pt idx="164">
                  <c:v>-1.0515999999999999E-2</c:v>
                </c:pt>
                <c:pt idx="165">
                  <c:v>2.3963999999999999E-2</c:v>
                </c:pt>
                <c:pt idx="166">
                  <c:v>-3.9629999999999999E-2</c:v>
                </c:pt>
                <c:pt idx="167">
                  <c:v>4.4474E-2</c:v>
                </c:pt>
                <c:pt idx="168">
                  <c:v>-4.8440000000000002E-3</c:v>
                </c:pt>
                <c:pt idx="169">
                  <c:v>6.6569999999999997E-3</c:v>
                </c:pt>
                <c:pt idx="170">
                  <c:v>1.3181999999999999E-2</c:v>
                </c:pt>
                <c:pt idx="171">
                  <c:v>-2.1659000000000001E-2</c:v>
                </c:pt>
                <c:pt idx="172">
                  <c:v>-3.7810999999999997E-2</c:v>
                </c:pt>
                <c:pt idx="173">
                  <c:v>8.8020000000000008E-3</c:v>
                </c:pt>
                <c:pt idx="174">
                  <c:v>-1.5775000000000001E-2</c:v>
                </c:pt>
                <c:pt idx="175">
                  <c:v>-1.913E-3</c:v>
                </c:pt>
                <c:pt idx="176">
                  <c:v>-2.4514000000000001E-2</c:v>
                </c:pt>
                <c:pt idx="177">
                  <c:v>1.1684E-2</c:v>
                </c:pt>
                <c:pt idx="178">
                  <c:v>-2.4176E-2</c:v>
                </c:pt>
                <c:pt idx="179">
                  <c:v>9.8709999999999996E-3</c:v>
                </c:pt>
                <c:pt idx="180">
                  <c:v>-3.2750000000000001E-3</c:v>
                </c:pt>
                <c:pt idx="181">
                  <c:v>-2.7984999999999999E-2</c:v>
                </c:pt>
                <c:pt idx="182">
                  <c:v>-2.7049999999999999E-3</c:v>
                </c:pt>
                <c:pt idx="183">
                  <c:v>-3.395E-3</c:v>
                </c:pt>
                <c:pt idx="184">
                  <c:v>3.3425999999999997E-2</c:v>
                </c:pt>
                <c:pt idx="185">
                  <c:v>1.3140000000000001E-3</c:v>
                </c:pt>
                <c:pt idx="186">
                  <c:v>-2.9989999999999999E-2</c:v>
                </c:pt>
                <c:pt idx="187">
                  <c:v>7.3673000000000002E-2</c:v>
                </c:pt>
                <c:pt idx="188">
                  <c:v>-2.8046999999999999E-2</c:v>
                </c:pt>
                <c:pt idx="189">
                  <c:v>2.4896999999999999E-2</c:v>
                </c:pt>
                <c:pt idx="190">
                  <c:v>8.7910000000000002E-3</c:v>
                </c:pt>
                <c:pt idx="191">
                  <c:v>4.3670000000000002E-3</c:v>
                </c:pt>
                <c:pt idx="192">
                  <c:v>-1.1266E-2</c:v>
                </c:pt>
                <c:pt idx="193">
                  <c:v>7.5209999999999999E-3</c:v>
                </c:pt>
                <c:pt idx="194">
                  <c:v>-2.2105E-2</c:v>
                </c:pt>
                <c:pt idx="195">
                  <c:v>4.4345000000000002E-2</c:v>
                </c:pt>
                <c:pt idx="196">
                  <c:v>-8.5920000000000007E-3</c:v>
                </c:pt>
                <c:pt idx="197">
                  <c:v>6.1899999999999998E-4</c:v>
                </c:pt>
                <c:pt idx="198">
                  <c:v>2.4931999999999999E-2</c:v>
                </c:pt>
                <c:pt idx="199">
                  <c:v>-2.7397000000000001E-2</c:v>
                </c:pt>
                <c:pt idx="200">
                  <c:v>3.6949999999999999E-3</c:v>
                </c:pt>
                <c:pt idx="201">
                  <c:v>-4.3160000000000004E-3</c:v>
                </c:pt>
                <c:pt idx="202">
                  <c:v>-6.8180000000000003E-3</c:v>
                </c:pt>
                <c:pt idx="203">
                  <c:v>4.6776999999999999E-2</c:v>
                </c:pt>
                <c:pt idx="204">
                  <c:v>1.0037000000000001E-2</c:v>
                </c:pt>
                <c:pt idx="205">
                  <c:v>3.5179999999999999E-3</c:v>
                </c:pt>
                <c:pt idx="206">
                  <c:v>1.7570000000000001E-3</c:v>
                </c:pt>
                <c:pt idx="207">
                  <c:v>-4.6909999999999999E-3</c:v>
                </c:pt>
                <c:pt idx="208">
                  <c:v>9.3530000000000002E-3</c:v>
                </c:pt>
                <c:pt idx="209">
                  <c:v>-5.0712E-2</c:v>
                </c:pt>
                <c:pt idx="210">
                  <c:v>-4.9059999999999998E-3</c:v>
                </c:pt>
                <c:pt idx="211">
                  <c:v>-4.9158E-2</c:v>
                </c:pt>
                <c:pt idx="212">
                  <c:v>-9.0880000000000006E-3</c:v>
                </c:pt>
                <c:pt idx="213">
                  <c:v>-1.8421E-2</c:v>
                </c:pt>
                <c:pt idx="214">
                  <c:v>3.9750000000000002E-3</c:v>
                </c:pt>
                <c:pt idx="215">
                  <c:v>3.5090000000000003E-2</c:v>
                </c:pt>
                <c:pt idx="216">
                  <c:v>-1.0266000000000001E-2</c:v>
                </c:pt>
                <c:pt idx="217">
                  <c:v>-3.6131000000000003E-2</c:v>
                </c:pt>
                <c:pt idx="218">
                  <c:v>1.3359999999999999E-3</c:v>
                </c:pt>
                <c:pt idx="219">
                  <c:v>-4.1602E-2</c:v>
                </c:pt>
                <c:pt idx="220">
                  <c:v>-2.1111000000000001E-2</c:v>
                </c:pt>
                <c:pt idx="221">
                  <c:v>-1.1448E-2</c:v>
                </c:pt>
                <c:pt idx="222">
                  <c:v>1.5703999999999999E-2</c:v>
                </c:pt>
                <c:pt idx="223">
                  <c:v>4.2459999999999998E-3</c:v>
                </c:pt>
                <c:pt idx="224">
                  <c:v>-4.2459999999999998E-3</c:v>
                </c:pt>
                <c:pt idx="225">
                  <c:v>1.1270000000000001E-2</c:v>
                </c:pt>
                <c:pt idx="226">
                  <c:v>3.5088000000000001E-2</c:v>
                </c:pt>
                <c:pt idx="227">
                  <c:v>1.4766E-2</c:v>
                </c:pt>
                <c:pt idx="228">
                  <c:v>1.1268E-2</c:v>
                </c:pt>
                <c:pt idx="229">
                  <c:v>-6.613E-3</c:v>
                </c:pt>
                <c:pt idx="230">
                  <c:v>3.3119999999999998E-3</c:v>
                </c:pt>
                <c:pt idx="231">
                  <c:v>-2.0704E-2</c:v>
                </c:pt>
                <c:pt idx="232">
                  <c:v>-2.3900999999999999E-2</c:v>
                </c:pt>
                <c:pt idx="233">
                  <c:v>-6.8800000000000003E-4</c:v>
                </c:pt>
                <c:pt idx="234">
                  <c:v>-1.384E-3</c:v>
                </c:pt>
                <c:pt idx="235">
                  <c:v>1.1015E-2</c:v>
                </c:pt>
                <c:pt idx="236">
                  <c:v>-3.3430000000000001E-2</c:v>
                </c:pt>
                <c:pt idx="237">
                  <c:v>1.2669E-2</c:v>
                </c:pt>
                <c:pt idx="238">
                  <c:v>1.8017999999999999E-2</c:v>
                </c:pt>
                <c:pt idx="239">
                  <c:v>-8.9689999999999995E-3</c:v>
                </c:pt>
                <c:pt idx="240">
                  <c:v>8.9689999999999995E-3</c:v>
                </c:pt>
                <c:pt idx="241">
                  <c:v>-2.7499999999999998E-3</c:v>
                </c:pt>
                <c:pt idx="242">
                  <c:v>2.3144000000000001E-2</c:v>
                </c:pt>
                <c:pt idx="243">
                  <c:v>2.6870000000000002E-3</c:v>
                </c:pt>
                <c:pt idx="244">
                  <c:v>6.6930000000000002E-3</c:v>
                </c:pt>
                <c:pt idx="245">
                  <c:v>7.0149000000000003E-2</c:v>
                </c:pt>
                <c:pt idx="246">
                  <c:v>6.8139999999999997E-3</c:v>
                </c:pt>
                <c:pt idx="247">
                  <c:v>-3.4542000000000003E-2</c:v>
                </c:pt>
                <c:pt idx="248">
                  <c:v>-5.7195999999999997E-2</c:v>
                </c:pt>
                <c:pt idx="249">
                  <c:v>2.3404999999999999E-2</c:v>
                </c:pt>
                <c:pt idx="250">
                  <c:v>0.15060399999999999</c:v>
                </c:pt>
              </c:numCache>
            </c:numRef>
          </c:val>
          <c:smooth val="0"/>
          <c:extLst>
            <c:ext xmlns:c16="http://schemas.microsoft.com/office/drawing/2014/chart" uri="{C3380CC4-5D6E-409C-BE32-E72D297353CC}">
              <c16:uniqueId val="{00000001-C12E-4974-81F6-4048F8F19A91}"/>
            </c:ext>
          </c:extLst>
        </c:ser>
        <c:ser>
          <c:idx val="2"/>
          <c:order val="2"/>
          <c:tx>
            <c:strRef>
              <c:f>Q6_ii_RawData!$D$1</c:f>
              <c:strCache>
                <c:ptCount val="1"/>
                <c:pt idx="0">
                  <c:v>MARA</c:v>
                </c:pt>
              </c:strCache>
            </c:strRef>
          </c:tx>
          <c:spPr>
            <a:ln w="28440" cap="rnd">
              <a:solidFill>
                <a:srgbClr val="9BBB59"/>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Q6_ii_RawData!$D$2:$D$252</c:f>
              <c:numCache>
                <c:formatCode>General</c:formatCode>
                <c:ptCount val="251"/>
                <c:pt idx="0">
                  <c:v>5.3419000000000001E-2</c:v>
                </c:pt>
                <c:pt idx="1">
                  <c:v>3.8525999999999998E-2</c:v>
                </c:pt>
                <c:pt idx="2">
                  <c:v>2.0223000000000001E-2</c:v>
                </c:pt>
                <c:pt idx="3">
                  <c:v>3.9960000000000004E-3</c:v>
                </c:pt>
                <c:pt idx="4">
                  <c:v>-8.7465000000000001E-2</c:v>
                </c:pt>
                <c:pt idx="5">
                  <c:v>9.2437000000000005E-2</c:v>
                </c:pt>
                <c:pt idx="6">
                  <c:v>-5.4011999999999998E-2</c:v>
                </c:pt>
                <c:pt idx="7">
                  <c:v>2.0920000000000001E-3</c:v>
                </c:pt>
                <c:pt idx="8">
                  <c:v>-2.0053000000000001E-2</c:v>
                </c:pt>
                <c:pt idx="9">
                  <c:v>-5.3449999999999999E-3</c:v>
                </c:pt>
                <c:pt idx="10">
                  <c:v>3.6826999999999999E-2</c:v>
                </c:pt>
                <c:pt idx="11">
                  <c:v>1.0330000000000001E-3</c:v>
                </c:pt>
                <c:pt idx="12">
                  <c:v>-3.4648999999999999E-2</c:v>
                </c:pt>
                <c:pt idx="13">
                  <c:v>6.4138000000000001E-2</c:v>
                </c:pt>
                <c:pt idx="14">
                  <c:v>0.160714</c:v>
                </c:pt>
                <c:pt idx="15">
                  <c:v>4.0959000000000002E-2</c:v>
                </c:pt>
                <c:pt idx="16">
                  <c:v>-3.1616999999999999E-2</c:v>
                </c:pt>
                <c:pt idx="17">
                  <c:v>7.1749999999999994E-2</c:v>
                </c:pt>
                <c:pt idx="18">
                  <c:v>-7.5136999999999995E-2</c:v>
                </c:pt>
                <c:pt idx="19">
                  <c:v>0.12650900000000001</c:v>
                </c:pt>
                <c:pt idx="20">
                  <c:v>-1.6579E-2</c:v>
                </c:pt>
                <c:pt idx="21">
                  <c:v>4.8934999999999999E-2</c:v>
                </c:pt>
                <c:pt idx="22">
                  <c:v>2.8900000000000002E-3</c:v>
                </c:pt>
                <c:pt idx="23">
                  <c:v>0.100152</c:v>
                </c:pt>
                <c:pt idx="24">
                  <c:v>1.5544000000000001E-2</c:v>
                </c:pt>
                <c:pt idx="25">
                  <c:v>-1.5544000000000001E-2</c:v>
                </c:pt>
                <c:pt idx="26">
                  <c:v>2.2589000000000001E-2</c:v>
                </c:pt>
                <c:pt idx="27">
                  <c:v>7.6747999999999997E-2</c:v>
                </c:pt>
                <c:pt idx="28">
                  <c:v>2.7399E-2</c:v>
                </c:pt>
                <c:pt idx="29">
                  <c:v>-3.0950999999999999E-2</c:v>
                </c:pt>
                <c:pt idx="30">
                  <c:v>0.135161</c:v>
                </c:pt>
                <c:pt idx="31">
                  <c:v>-6.5851999999999994E-2</c:v>
                </c:pt>
                <c:pt idx="32">
                  <c:v>-4.5860999999999999E-2</c:v>
                </c:pt>
                <c:pt idx="33">
                  <c:v>-2.6418000000000001E-2</c:v>
                </c:pt>
                <c:pt idx="34">
                  <c:v>4.5357000000000001E-2</c:v>
                </c:pt>
                <c:pt idx="35">
                  <c:v>-3.0594E-2</c:v>
                </c:pt>
                <c:pt idx="36">
                  <c:v>-1.0607E-2</c:v>
                </c:pt>
                <c:pt idx="37">
                  <c:v>-2.7629000000000001E-2</c:v>
                </c:pt>
                <c:pt idx="38">
                  <c:v>-1.4723999999999999E-2</c:v>
                </c:pt>
                <c:pt idx="39">
                  <c:v>3.8793000000000001E-2</c:v>
                </c:pt>
                <c:pt idx="40">
                  <c:v>-5.1857E-2</c:v>
                </c:pt>
                <c:pt idx="41">
                  <c:v>4.4697000000000001E-2</c:v>
                </c:pt>
                <c:pt idx="42">
                  <c:v>3.9336000000000003E-2</c:v>
                </c:pt>
                <c:pt idx="43">
                  <c:v>-3.1581999999999999E-2</c:v>
                </c:pt>
                <c:pt idx="44">
                  <c:v>-2.1014999999999999E-2</c:v>
                </c:pt>
                <c:pt idx="45">
                  <c:v>4.8430000000000001E-3</c:v>
                </c:pt>
                <c:pt idx="46">
                  <c:v>-4.5082999999999998E-2</c:v>
                </c:pt>
                <c:pt idx="47">
                  <c:v>-4.9201000000000002E-2</c:v>
                </c:pt>
                <c:pt idx="48">
                  <c:v>4.2228000000000002E-2</c:v>
                </c:pt>
                <c:pt idx="49">
                  <c:v>-1.3448999999999999E-2</c:v>
                </c:pt>
                <c:pt idx="50">
                  <c:v>-6.3894000000000006E-2</c:v>
                </c:pt>
                <c:pt idx="51">
                  <c:v>2.2426999999999999E-2</c:v>
                </c:pt>
                <c:pt idx="52">
                  <c:v>7.365E-3</c:v>
                </c:pt>
                <c:pt idx="53">
                  <c:v>-7.3339000000000001E-2</c:v>
                </c:pt>
                <c:pt idx="54">
                  <c:v>-3.1355000000000001E-2</c:v>
                </c:pt>
                <c:pt idx="55">
                  <c:v>-9.7164E-2</c:v>
                </c:pt>
                <c:pt idx="56">
                  <c:v>-8.2494999999999999E-2</c:v>
                </c:pt>
                <c:pt idx="57">
                  <c:v>-2.0601000000000001E-2</c:v>
                </c:pt>
                <c:pt idx="58">
                  <c:v>-9.0910000000000001E-3</c:v>
                </c:pt>
                <c:pt idx="59">
                  <c:v>7.0513999999999993E-2</c:v>
                </c:pt>
                <c:pt idx="60">
                  <c:v>-0.107727</c:v>
                </c:pt>
                <c:pt idx="61">
                  <c:v>0</c:v>
                </c:pt>
                <c:pt idx="62">
                  <c:v>6.613E-3</c:v>
                </c:pt>
                <c:pt idx="63">
                  <c:v>0.25319599999999998</c:v>
                </c:pt>
                <c:pt idx="64">
                  <c:v>-1.5469999999999999E-2</c:v>
                </c:pt>
                <c:pt idx="65">
                  <c:v>-6.9152000000000005E-2</c:v>
                </c:pt>
                <c:pt idx="66">
                  <c:v>-4.6406000000000003E-2</c:v>
                </c:pt>
                <c:pt idx="67">
                  <c:v>0</c:v>
                </c:pt>
                <c:pt idx="68">
                  <c:v>4.9880000000000002E-3</c:v>
                </c:pt>
                <c:pt idx="69">
                  <c:v>2.4570999999999999E-2</c:v>
                </c:pt>
                <c:pt idx="70">
                  <c:v>-0.12478599999999999</c:v>
                </c:pt>
                <c:pt idx="71">
                  <c:v>-8.0118999999999996E-2</c:v>
                </c:pt>
                <c:pt idx="72">
                  <c:v>8.8979999999999997E-3</c:v>
                </c:pt>
                <c:pt idx="73">
                  <c:v>-2.6934E-2</c:v>
                </c:pt>
                <c:pt idx="74">
                  <c:v>1.1061E-2</c:v>
                </c:pt>
                <c:pt idx="75">
                  <c:v>-2.0202999999999999E-2</c:v>
                </c:pt>
                <c:pt idx="76">
                  <c:v>-1.021E-3</c:v>
                </c:pt>
                <c:pt idx="77">
                  <c:v>-2.3774E-2</c:v>
                </c:pt>
                <c:pt idx="78">
                  <c:v>-2.8649000000000001E-2</c:v>
                </c:pt>
                <c:pt idx="79">
                  <c:v>-1.4092E-2</c:v>
                </c:pt>
                <c:pt idx="80">
                  <c:v>-5.4976999999999998E-2</c:v>
                </c:pt>
                <c:pt idx="81">
                  <c:v>-1.2769000000000001E-2</c:v>
                </c:pt>
                <c:pt idx="82">
                  <c:v>-3.6887000000000003E-2</c:v>
                </c:pt>
                <c:pt idx="83">
                  <c:v>-2.9522E-2</c:v>
                </c:pt>
                <c:pt idx="84">
                  <c:v>6.7576999999999998E-2</c:v>
                </c:pt>
                <c:pt idx="85">
                  <c:v>-8.2019999999999992E-3</c:v>
                </c:pt>
                <c:pt idx="86">
                  <c:v>3.5230000000000001E-3</c:v>
                </c:pt>
                <c:pt idx="87">
                  <c:v>-0.15571499999999999</c:v>
                </c:pt>
                <c:pt idx="88">
                  <c:v>3.2348000000000002E-2</c:v>
                </c:pt>
                <c:pt idx="89">
                  <c:v>-1.6043000000000002E-2</c:v>
                </c:pt>
                <c:pt idx="90">
                  <c:v>8.5212999999999997E-2</c:v>
                </c:pt>
                <c:pt idx="91">
                  <c:v>3.4067E-2</c:v>
                </c:pt>
                <c:pt idx="92">
                  <c:v>1.1891000000000001E-2</c:v>
                </c:pt>
                <c:pt idx="93">
                  <c:v>-6.8486000000000005E-2</c:v>
                </c:pt>
                <c:pt idx="94">
                  <c:v>-1.5306E-2</c:v>
                </c:pt>
                <c:pt idx="95">
                  <c:v>-9.0379999999999992E-3</c:v>
                </c:pt>
                <c:pt idx="96">
                  <c:v>4.9346000000000001E-2</c:v>
                </c:pt>
                <c:pt idx="97">
                  <c:v>4.2301999999999999E-2</c:v>
                </c:pt>
                <c:pt idx="98">
                  <c:v>-8.7764999999999996E-2</c:v>
                </c:pt>
                <c:pt idx="99">
                  <c:v>-3.8839999999999999E-3</c:v>
                </c:pt>
                <c:pt idx="100">
                  <c:v>6.4640000000000001E-3</c:v>
                </c:pt>
                <c:pt idx="101">
                  <c:v>0.120071</c:v>
                </c:pt>
                <c:pt idx="102">
                  <c:v>0.109239</c:v>
                </c:pt>
                <c:pt idx="103">
                  <c:v>-3.0162999999999999E-2</c:v>
                </c:pt>
                <c:pt idx="104">
                  <c:v>-5.2016E-2</c:v>
                </c:pt>
                <c:pt idx="105">
                  <c:v>-1.4566000000000001E-2</c:v>
                </c:pt>
                <c:pt idx="106">
                  <c:v>-1.129E-3</c:v>
                </c:pt>
                <c:pt idx="107">
                  <c:v>-4.5300000000000002E-3</c:v>
                </c:pt>
                <c:pt idx="108">
                  <c:v>1.2409E-2</c:v>
                </c:pt>
                <c:pt idx="109">
                  <c:v>0.10019</c:v>
                </c:pt>
                <c:pt idx="110">
                  <c:v>-4.6712999999999998E-2</c:v>
                </c:pt>
                <c:pt idx="111">
                  <c:v>-1.8231000000000001E-2</c:v>
                </c:pt>
                <c:pt idx="112">
                  <c:v>-6.515E-3</c:v>
                </c:pt>
                <c:pt idx="113">
                  <c:v>-7.1096000000000006E-2</c:v>
                </c:pt>
                <c:pt idx="114">
                  <c:v>7.6527999999999999E-2</c:v>
                </c:pt>
                <c:pt idx="115">
                  <c:v>4.0344999999999999E-2</c:v>
                </c:pt>
                <c:pt idx="116">
                  <c:v>-4.5776999999999998E-2</c:v>
                </c:pt>
                <c:pt idx="117">
                  <c:v>-1.09E-3</c:v>
                </c:pt>
                <c:pt idx="118">
                  <c:v>0.110364</c:v>
                </c:pt>
                <c:pt idx="119">
                  <c:v>-4.8009000000000003E-2</c:v>
                </c:pt>
                <c:pt idx="120">
                  <c:v>2.4292999999999999E-2</c:v>
                </c:pt>
                <c:pt idx="121">
                  <c:v>6.2035E-2</c:v>
                </c:pt>
                <c:pt idx="122">
                  <c:v>-3.1505999999999999E-2</c:v>
                </c:pt>
                <c:pt idx="123">
                  <c:v>5.7481999999999998E-2</c:v>
                </c:pt>
                <c:pt idx="124">
                  <c:v>4.3894000000000002E-2</c:v>
                </c:pt>
                <c:pt idx="125">
                  <c:v>-1.1459E-2</c:v>
                </c:pt>
                <c:pt idx="126">
                  <c:v>9.3050999999999995E-2</c:v>
                </c:pt>
                <c:pt idx="127">
                  <c:v>1.614E-3</c:v>
                </c:pt>
                <c:pt idx="128">
                  <c:v>-3.5292999999999998E-2</c:v>
                </c:pt>
                <c:pt idx="129">
                  <c:v>0.134992</c:v>
                </c:pt>
                <c:pt idx="130">
                  <c:v>8.1277000000000002E-2</c:v>
                </c:pt>
                <c:pt idx="131">
                  <c:v>2.7872000000000001E-2</c:v>
                </c:pt>
                <c:pt idx="132">
                  <c:v>1.6872999999999999E-2</c:v>
                </c:pt>
                <c:pt idx="133">
                  <c:v>-1.9319999999999999E-3</c:v>
                </c:pt>
                <c:pt idx="134">
                  <c:v>7.8702999999999995E-2</c:v>
                </c:pt>
                <c:pt idx="135">
                  <c:v>-0.13574700000000001</c:v>
                </c:pt>
                <c:pt idx="136">
                  <c:v>1.6250000000000001E-2</c:v>
                </c:pt>
                <c:pt idx="137">
                  <c:v>0.11830499999999999</c:v>
                </c:pt>
                <c:pt idx="138">
                  <c:v>6.1325999999999999E-2</c:v>
                </c:pt>
                <c:pt idx="139">
                  <c:v>2.6033000000000001E-2</c:v>
                </c:pt>
                <c:pt idx="140">
                  <c:v>8.3360000000000004E-2</c:v>
                </c:pt>
                <c:pt idx="141">
                  <c:v>9.9963999999999997E-2</c:v>
                </c:pt>
                <c:pt idx="142">
                  <c:v>5.8999999999999999E-3</c:v>
                </c:pt>
                <c:pt idx="143">
                  <c:v>0.11445900000000001</c:v>
                </c:pt>
                <c:pt idx="144">
                  <c:v>7.5000999999999998E-2</c:v>
                </c:pt>
                <c:pt idx="145">
                  <c:v>9.3159999999999996E-3</c:v>
                </c:pt>
                <c:pt idx="146">
                  <c:v>0.14188799999999999</c:v>
                </c:pt>
                <c:pt idx="147">
                  <c:v>-0.100117</c:v>
                </c:pt>
                <c:pt idx="148">
                  <c:v>-0.17955099999999999</c:v>
                </c:pt>
                <c:pt idx="149">
                  <c:v>-2.4129000000000001E-2</c:v>
                </c:pt>
                <c:pt idx="150">
                  <c:v>2.1998E-2</c:v>
                </c:pt>
                <c:pt idx="151">
                  <c:v>0.113984</c:v>
                </c:pt>
                <c:pt idx="152">
                  <c:v>-8.5386000000000004E-2</c:v>
                </c:pt>
                <c:pt idx="153">
                  <c:v>7.4286000000000005E-2</c:v>
                </c:pt>
                <c:pt idx="154">
                  <c:v>-9.6690000000000005E-3</c:v>
                </c:pt>
                <c:pt idx="155">
                  <c:v>-3.8939999999999999E-3</c:v>
                </c:pt>
                <c:pt idx="156">
                  <c:v>-0.13470299999999999</c:v>
                </c:pt>
                <c:pt idx="157">
                  <c:v>-0.16567499999999999</c:v>
                </c:pt>
                <c:pt idx="158">
                  <c:v>-6.5311999999999995E-2</c:v>
                </c:pt>
                <c:pt idx="159">
                  <c:v>-2.9683000000000001E-2</c:v>
                </c:pt>
                <c:pt idx="160">
                  <c:v>-7.1438000000000001E-2</c:v>
                </c:pt>
                <c:pt idx="161">
                  <c:v>3.7269999999999998E-3</c:v>
                </c:pt>
                <c:pt idx="162">
                  <c:v>2.9323999999999999E-2</c:v>
                </c:pt>
                <c:pt idx="163">
                  <c:v>-3.0564999999999998E-2</c:v>
                </c:pt>
                <c:pt idx="164">
                  <c:v>-2.8969000000000002E-2</c:v>
                </c:pt>
                <c:pt idx="165">
                  <c:v>3.8851999999999998E-2</c:v>
                </c:pt>
                <c:pt idx="166">
                  <c:v>9.2680999999999999E-2</c:v>
                </c:pt>
                <c:pt idx="167">
                  <c:v>3.6847999999999999E-2</c:v>
                </c:pt>
                <c:pt idx="168">
                  <c:v>-2.2387000000000001E-2</c:v>
                </c:pt>
                <c:pt idx="169">
                  <c:v>-2.1205999999999999E-2</c:v>
                </c:pt>
                <c:pt idx="170">
                  <c:v>4.7903000000000001E-2</c:v>
                </c:pt>
                <c:pt idx="171">
                  <c:v>-2.1739999999999999E-2</c:v>
                </c:pt>
                <c:pt idx="172">
                  <c:v>-8.9611999999999997E-2</c:v>
                </c:pt>
                <c:pt idx="173">
                  <c:v>2.4927000000000001E-2</c:v>
                </c:pt>
                <c:pt idx="174">
                  <c:v>2.7747000000000001E-2</c:v>
                </c:pt>
                <c:pt idx="175">
                  <c:v>0.207283</c:v>
                </c:pt>
                <c:pt idx="176">
                  <c:v>0.10169300000000001</c:v>
                </c:pt>
                <c:pt idx="177">
                  <c:v>0.13269400000000001</c:v>
                </c:pt>
                <c:pt idx="178">
                  <c:v>-5.8885E-2</c:v>
                </c:pt>
                <c:pt idx="179">
                  <c:v>0.13406599999999999</c:v>
                </c:pt>
                <c:pt idx="180">
                  <c:v>-8.4756999999999999E-2</c:v>
                </c:pt>
                <c:pt idx="181">
                  <c:v>-2.9650000000000002E-3</c:v>
                </c:pt>
                <c:pt idx="182">
                  <c:v>-9.4531000000000004E-2</c:v>
                </c:pt>
                <c:pt idx="183">
                  <c:v>-6.7944000000000004E-2</c:v>
                </c:pt>
                <c:pt idx="184">
                  <c:v>6.9982000000000003E-2</c:v>
                </c:pt>
                <c:pt idx="185">
                  <c:v>-2.3481999999999999E-2</c:v>
                </c:pt>
                <c:pt idx="186">
                  <c:v>0.196189</c:v>
                </c:pt>
                <c:pt idx="187">
                  <c:v>3.7651999999999998E-2</c:v>
                </c:pt>
                <c:pt idx="188">
                  <c:v>2.3477000000000001E-2</c:v>
                </c:pt>
                <c:pt idx="189">
                  <c:v>-0.18071200000000001</c:v>
                </c:pt>
                <c:pt idx="190">
                  <c:v>4.1593999999999999E-2</c:v>
                </c:pt>
                <c:pt idx="191">
                  <c:v>-4.8957000000000001E-2</c:v>
                </c:pt>
                <c:pt idx="192">
                  <c:v>-0.14408899999999999</c:v>
                </c:pt>
                <c:pt idx="193">
                  <c:v>1.6043000000000002E-2</c:v>
                </c:pt>
                <c:pt idx="194">
                  <c:v>-3.6924999999999999E-2</c:v>
                </c:pt>
                <c:pt idx="195">
                  <c:v>7.4238999999999999E-2</c:v>
                </c:pt>
                <c:pt idx="196">
                  <c:v>-0.128918</c:v>
                </c:pt>
                <c:pt idx="197">
                  <c:v>-2.2044000000000001E-2</c:v>
                </c:pt>
                <c:pt idx="198">
                  <c:v>-2.4569000000000001E-2</c:v>
                </c:pt>
                <c:pt idx="199">
                  <c:v>-7.7549999999999994E-2</c:v>
                </c:pt>
                <c:pt idx="200">
                  <c:v>5.8071999999999999E-2</c:v>
                </c:pt>
                <c:pt idx="201">
                  <c:v>4.6480000000000002E-3</c:v>
                </c:pt>
                <c:pt idx="202">
                  <c:v>-4.6480000000000002E-3</c:v>
                </c:pt>
                <c:pt idx="203">
                  <c:v>0.149259</c:v>
                </c:pt>
                <c:pt idx="204">
                  <c:v>-2.9406999999999999E-2</c:v>
                </c:pt>
                <c:pt idx="205">
                  <c:v>-4.2679000000000002E-2</c:v>
                </c:pt>
                <c:pt idx="206">
                  <c:v>3.826E-3</c:v>
                </c:pt>
                <c:pt idx="207">
                  <c:v>-2.7584999999999998E-2</c:v>
                </c:pt>
                <c:pt idx="208">
                  <c:v>7.9665E-2</c:v>
                </c:pt>
                <c:pt idx="209">
                  <c:v>2.2845000000000001E-2</c:v>
                </c:pt>
                <c:pt idx="210">
                  <c:v>-4.2983E-2</c:v>
                </c:pt>
                <c:pt idx="211">
                  <c:v>-9.1940999999999995E-2</c:v>
                </c:pt>
                <c:pt idx="212">
                  <c:v>-1.5322000000000001E-2</c:v>
                </c:pt>
                <c:pt idx="213">
                  <c:v>-5.067E-2</c:v>
                </c:pt>
                <c:pt idx="214">
                  <c:v>-2.1679999999999998E-3</c:v>
                </c:pt>
                <c:pt idx="215">
                  <c:v>-2.639E-2</c:v>
                </c:pt>
                <c:pt idx="216">
                  <c:v>1.67E-3</c:v>
                </c:pt>
                <c:pt idx="217">
                  <c:v>-3.3939999999999998E-2</c:v>
                </c:pt>
                <c:pt idx="218">
                  <c:v>1.2579E-2</c:v>
                </c:pt>
                <c:pt idx="219">
                  <c:v>-8.8458999999999996E-2</c:v>
                </c:pt>
                <c:pt idx="220">
                  <c:v>-6.1440000000000002E-2</c:v>
                </c:pt>
                <c:pt idx="221">
                  <c:v>-3.6978999999999998E-2</c:v>
                </c:pt>
                <c:pt idx="222">
                  <c:v>2.0530000000000001E-3</c:v>
                </c:pt>
                <c:pt idx="223">
                  <c:v>2.6974000000000001E-2</c:v>
                </c:pt>
                <c:pt idx="224">
                  <c:v>9.3312000000000006E-2</c:v>
                </c:pt>
                <c:pt idx="225">
                  <c:v>6.1693999999999999E-2</c:v>
                </c:pt>
                <c:pt idx="226">
                  <c:v>0.10227899999999999</c:v>
                </c:pt>
                <c:pt idx="227">
                  <c:v>-1.8168E-2</c:v>
                </c:pt>
                <c:pt idx="228">
                  <c:v>-4.1989999999999996E-3</c:v>
                </c:pt>
                <c:pt idx="229">
                  <c:v>2.1853000000000001E-2</c:v>
                </c:pt>
                <c:pt idx="230">
                  <c:v>-7.4781E-2</c:v>
                </c:pt>
                <c:pt idx="231">
                  <c:v>-0.115705</c:v>
                </c:pt>
                <c:pt idx="232">
                  <c:v>6.2200000000000005E-4</c:v>
                </c:pt>
                <c:pt idx="233">
                  <c:v>6.0367999999999998E-2</c:v>
                </c:pt>
                <c:pt idx="234">
                  <c:v>2.6020999999999999E-2</c:v>
                </c:pt>
                <c:pt idx="235">
                  <c:v>0.16533999999999999</c:v>
                </c:pt>
                <c:pt idx="236">
                  <c:v>-2.2506000000000002E-2</c:v>
                </c:pt>
                <c:pt idx="237">
                  <c:v>-5.9550000000000002E-3</c:v>
                </c:pt>
                <c:pt idx="238">
                  <c:v>-2.2145000000000001E-2</c:v>
                </c:pt>
                <c:pt idx="239">
                  <c:v>-0.13549600000000001</c:v>
                </c:pt>
                <c:pt idx="240">
                  <c:v>5.8110000000000002E-3</c:v>
                </c:pt>
                <c:pt idx="241">
                  <c:v>4.5860999999999999E-2</c:v>
                </c:pt>
                <c:pt idx="242">
                  <c:v>0.111429</c:v>
                </c:pt>
                <c:pt idx="243">
                  <c:v>-2.7605000000000001E-2</c:v>
                </c:pt>
                <c:pt idx="244">
                  <c:v>-1.023E-2</c:v>
                </c:pt>
                <c:pt idx="245">
                  <c:v>0.13763600000000001</c:v>
                </c:pt>
                <c:pt idx="246">
                  <c:v>-4.4430999999999998E-2</c:v>
                </c:pt>
                <c:pt idx="247">
                  <c:v>-5.1659999999999996E-3</c:v>
                </c:pt>
                <c:pt idx="248">
                  <c:v>-5.6161999999999997E-2</c:v>
                </c:pt>
                <c:pt idx="249">
                  <c:v>5.4747999999999998E-2</c:v>
                </c:pt>
                <c:pt idx="250">
                  <c:v>0.21210000000000001</c:v>
                </c:pt>
              </c:numCache>
            </c:numRef>
          </c:val>
          <c:smooth val="0"/>
          <c:extLst>
            <c:ext xmlns:c16="http://schemas.microsoft.com/office/drawing/2014/chart" uri="{C3380CC4-5D6E-409C-BE32-E72D297353CC}">
              <c16:uniqueId val="{00000002-C12E-4974-81F6-4048F8F19A91}"/>
            </c:ext>
          </c:extLst>
        </c:ser>
        <c:ser>
          <c:idx val="3"/>
          <c:order val="3"/>
          <c:tx>
            <c:strRef>
              <c:f>Q6_ii_RawData!$E$1</c:f>
              <c:strCache>
                <c:ptCount val="1"/>
                <c:pt idx="0">
                  <c:v>NFLX</c:v>
                </c:pt>
              </c:strCache>
            </c:strRef>
          </c:tx>
          <c:spPr>
            <a:ln w="28440" cap="rnd">
              <a:solidFill>
                <a:srgbClr val="8064A2"/>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Q6_ii_RawData!$E$2:$E$252</c:f>
              <c:numCache>
                <c:formatCode>General</c:formatCode>
                <c:ptCount val="251"/>
                <c:pt idx="0">
                  <c:v>3.6539000000000002E-2</c:v>
                </c:pt>
                <c:pt idx="1">
                  <c:v>5.7089999999999997E-3</c:v>
                </c:pt>
                <c:pt idx="2">
                  <c:v>1.9791E-2</c:v>
                </c:pt>
                <c:pt idx="3">
                  <c:v>-6.62E-3</c:v>
                </c:pt>
                <c:pt idx="4">
                  <c:v>7.6369999999999997E-3</c:v>
                </c:pt>
                <c:pt idx="5">
                  <c:v>-1.0588E-2</c:v>
                </c:pt>
                <c:pt idx="6">
                  <c:v>1.201E-3</c:v>
                </c:pt>
                <c:pt idx="7">
                  <c:v>2.3730000000000001E-2</c:v>
                </c:pt>
                <c:pt idx="8">
                  <c:v>2.5683000000000001E-2</c:v>
                </c:pt>
                <c:pt idx="9">
                  <c:v>9.3600000000000003E-3</c:v>
                </c:pt>
                <c:pt idx="10">
                  <c:v>2.7359999999999999E-2</c:v>
                </c:pt>
                <c:pt idx="11">
                  <c:v>1.1705E-2</c:v>
                </c:pt>
                <c:pt idx="12">
                  <c:v>9.953E-3</c:v>
                </c:pt>
                <c:pt idx="13">
                  <c:v>-3.0348E-2</c:v>
                </c:pt>
                <c:pt idx="14">
                  <c:v>6.3229999999999996E-3</c:v>
                </c:pt>
                <c:pt idx="15">
                  <c:v>-2.3862000000000001E-2</c:v>
                </c:pt>
                <c:pt idx="16">
                  <c:v>-4.6519999999999999E-3</c:v>
                </c:pt>
                <c:pt idx="17">
                  <c:v>3.6389999999999999E-3</c:v>
                </c:pt>
                <c:pt idx="18">
                  <c:v>-1.924E-2</c:v>
                </c:pt>
                <c:pt idx="19">
                  <c:v>2.7369999999999998E-3</c:v>
                </c:pt>
                <c:pt idx="20">
                  <c:v>3.0134999999999999E-2</c:v>
                </c:pt>
                <c:pt idx="21">
                  <c:v>-3.7290000000000001E-3</c:v>
                </c:pt>
                <c:pt idx="22">
                  <c:v>2.8204E-2</c:v>
                </c:pt>
                <c:pt idx="23">
                  <c:v>2.1540000000000001E-3</c:v>
                </c:pt>
                <c:pt idx="24">
                  <c:v>1.0052999999999999E-2</c:v>
                </c:pt>
                <c:pt idx="25">
                  <c:v>-1.5959999999999998E-2</c:v>
                </c:pt>
                <c:pt idx="26">
                  <c:v>-1.688E-3</c:v>
                </c:pt>
                <c:pt idx="27">
                  <c:v>8.2059999999999998E-3</c:v>
                </c:pt>
                <c:pt idx="28">
                  <c:v>-3.4020000000000001E-3</c:v>
                </c:pt>
                <c:pt idx="29">
                  <c:v>8.685E-3</c:v>
                </c:pt>
                <c:pt idx="30">
                  <c:v>1.4154999999999999E-2</c:v>
                </c:pt>
                <c:pt idx="31">
                  <c:v>-1.8984999999999998E-2</c:v>
                </c:pt>
                <c:pt idx="32">
                  <c:v>1.8252000000000001E-2</c:v>
                </c:pt>
                <c:pt idx="33">
                  <c:v>5.3534999999999999E-2</c:v>
                </c:pt>
                <c:pt idx="34">
                  <c:v>5.8589999999999996E-3</c:v>
                </c:pt>
                <c:pt idx="35">
                  <c:v>-8.7859000000000007E-2</c:v>
                </c:pt>
                <c:pt idx="36">
                  <c:v>-2.2939999999999999E-2</c:v>
                </c:pt>
                <c:pt idx="37">
                  <c:v>2.0330000000000001E-3</c:v>
                </c:pt>
                <c:pt idx="38">
                  <c:v>-1.565E-3</c:v>
                </c:pt>
                <c:pt idx="39">
                  <c:v>-1.183E-2</c:v>
                </c:pt>
                <c:pt idx="40">
                  <c:v>-2.2733E-2</c:v>
                </c:pt>
                <c:pt idx="41">
                  <c:v>3.0064E-2</c:v>
                </c:pt>
                <c:pt idx="42">
                  <c:v>3.0508E-2</c:v>
                </c:pt>
                <c:pt idx="43">
                  <c:v>-7.9799999999999999E-4</c:v>
                </c:pt>
                <c:pt idx="44">
                  <c:v>-2.0545999999999998E-2</c:v>
                </c:pt>
                <c:pt idx="45">
                  <c:v>3.0209999999999998E-3</c:v>
                </c:pt>
                <c:pt idx="46">
                  <c:v>1.3910000000000001E-3</c:v>
                </c:pt>
                <c:pt idx="47">
                  <c:v>2.1000999999999999E-2</c:v>
                </c:pt>
                <c:pt idx="48">
                  <c:v>-5.5970000000000004E-3</c:v>
                </c:pt>
                <c:pt idx="49">
                  <c:v>-2.1680000000000001E-2</c:v>
                </c:pt>
                <c:pt idx="50">
                  <c:v>2.5149999999999999E-3</c:v>
                </c:pt>
                <c:pt idx="51">
                  <c:v>-1.9539000000000001E-2</c:v>
                </c:pt>
                <c:pt idx="52">
                  <c:v>1.4409999999999999E-2</c:v>
                </c:pt>
                <c:pt idx="53">
                  <c:v>-9.5829999999999995E-3</c:v>
                </c:pt>
                <c:pt idx="54">
                  <c:v>-1.9663E-2</c:v>
                </c:pt>
                <c:pt idx="55">
                  <c:v>-3.0426000000000002E-2</c:v>
                </c:pt>
                <c:pt idx="56">
                  <c:v>3.7889999999999998E-3</c:v>
                </c:pt>
                <c:pt idx="57">
                  <c:v>9.2519999999999998E-3</c:v>
                </c:pt>
                <c:pt idx="58">
                  <c:v>1.1880999999999999E-2</c:v>
                </c:pt>
                <c:pt idx="59">
                  <c:v>3.4211999999999999E-2</c:v>
                </c:pt>
                <c:pt idx="60">
                  <c:v>-4.9430000000000002E-2</c:v>
                </c:pt>
                <c:pt idx="61">
                  <c:v>2.2116E-2</c:v>
                </c:pt>
                <c:pt idx="62">
                  <c:v>4.8679999999999999E-3</c:v>
                </c:pt>
                <c:pt idx="63">
                  <c:v>2.8136999999999999E-2</c:v>
                </c:pt>
                <c:pt idx="64">
                  <c:v>1.0825E-2</c:v>
                </c:pt>
                <c:pt idx="65">
                  <c:v>-2.2799999999999999E-3</c:v>
                </c:pt>
                <c:pt idx="66">
                  <c:v>1.4194999999999999E-2</c:v>
                </c:pt>
                <c:pt idx="67">
                  <c:v>1.9807999999999999E-2</c:v>
                </c:pt>
                <c:pt idx="68">
                  <c:v>-6.5290000000000001E-3</c:v>
                </c:pt>
                <c:pt idx="69">
                  <c:v>-5.8950000000000001E-3</c:v>
                </c:pt>
                <c:pt idx="70">
                  <c:v>-7.6800000000000002E-4</c:v>
                </c:pt>
                <c:pt idx="71">
                  <c:v>5.7650000000000002E-3</c:v>
                </c:pt>
                <c:pt idx="72">
                  <c:v>-2.4250000000000001E-2</c:v>
                </c:pt>
                <c:pt idx="73">
                  <c:v>-5.3026999999999998E-2</c:v>
                </c:pt>
                <c:pt idx="74">
                  <c:v>-2.8917000000000002E-2</c:v>
                </c:pt>
                <c:pt idx="75">
                  <c:v>-8.9040000000000005E-3</c:v>
                </c:pt>
                <c:pt idx="76">
                  <c:v>-6.4200000000000004E-3</c:v>
                </c:pt>
                <c:pt idx="77">
                  <c:v>4.5539999999999999E-3</c:v>
                </c:pt>
                <c:pt idx="78">
                  <c:v>-2.5305000000000001E-2</c:v>
                </c:pt>
                <c:pt idx="79">
                  <c:v>-5.581E-3</c:v>
                </c:pt>
                <c:pt idx="80">
                  <c:v>-1.1362000000000001E-2</c:v>
                </c:pt>
                <c:pt idx="81">
                  <c:v>1.3053E-2</c:v>
                </c:pt>
                <c:pt idx="82">
                  <c:v>-1.4527999999999999E-2</c:v>
                </c:pt>
                <c:pt idx="83">
                  <c:v>-4.3870000000000003E-3</c:v>
                </c:pt>
                <c:pt idx="84">
                  <c:v>-3.2629999999999998E-3</c:v>
                </c:pt>
                <c:pt idx="85">
                  <c:v>3.2889999999999998E-3</c:v>
                </c:pt>
                <c:pt idx="86">
                  <c:v>7.2040000000000003E-3</c:v>
                </c:pt>
                <c:pt idx="87">
                  <c:v>-9.4570000000000001E-3</c:v>
                </c:pt>
                <c:pt idx="88">
                  <c:v>3.9800000000000002E-4</c:v>
                </c:pt>
                <c:pt idx="89">
                  <c:v>-1.1501000000000001E-2</c:v>
                </c:pt>
                <c:pt idx="90">
                  <c:v>2.3657999999999998E-2</c:v>
                </c:pt>
                <c:pt idx="91">
                  <c:v>1.1571E-2</c:v>
                </c:pt>
                <c:pt idx="92">
                  <c:v>-3.3272000000000003E-2</c:v>
                </c:pt>
                <c:pt idx="93">
                  <c:v>-1.9994000000000001E-2</c:v>
                </c:pt>
                <c:pt idx="94">
                  <c:v>-1.3010000000000001E-2</c:v>
                </c:pt>
                <c:pt idx="95">
                  <c:v>-1.54E-2</c:v>
                </c:pt>
                <c:pt idx="96">
                  <c:v>1.4348E-2</c:v>
                </c:pt>
                <c:pt idx="97">
                  <c:v>-1.4234999999999999E-2</c:v>
                </c:pt>
                <c:pt idx="98">
                  <c:v>-2.7156E-2</c:v>
                </c:pt>
                <c:pt idx="99">
                  <c:v>0.148892</c:v>
                </c:pt>
                <c:pt idx="100">
                  <c:v>-2.0179999999999998E-3</c:v>
                </c:pt>
                <c:pt idx="101">
                  <c:v>1.4558E-2</c:v>
                </c:pt>
                <c:pt idx="102">
                  <c:v>1.6794E-2</c:v>
                </c:pt>
                <c:pt idx="103">
                  <c:v>-6.012E-3</c:v>
                </c:pt>
                <c:pt idx="104">
                  <c:v>-1.8925999999999998E-2</c:v>
                </c:pt>
                <c:pt idx="105">
                  <c:v>-1.4149999999999999E-2</c:v>
                </c:pt>
                <c:pt idx="106">
                  <c:v>3.0227E-2</c:v>
                </c:pt>
                <c:pt idx="107">
                  <c:v>3.9179999999999996E-3</c:v>
                </c:pt>
                <c:pt idx="108">
                  <c:v>2.0435999999999999E-2</c:v>
                </c:pt>
                <c:pt idx="109">
                  <c:v>1.0699999999999999E-2</c:v>
                </c:pt>
                <c:pt idx="110">
                  <c:v>1.7852E-2</c:v>
                </c:pt>
                <c:pt idx="111">
                  <c:v>5.4900000000000001E-3</c:v>
                </c:pt>
                <c:pt idx="112">
                  <c:v>-2.99E-4</c:v>
                </c:pt>
                <c:pt idx="113">
                  <c:v>4.6829999999999997E-3</c:v>
                </c:pt>
                <c:pt idx="114">
                  <c:v>-3.441E-3</c:v>
                </c:pt>
                <c:pt idx="115">
                  <c:v>2.7404999999999999E-2</c:v>
                </c:pt>
                <c:pt idx="116">
                  <c:v>-5.875E-3</c:v>
                </c:pt>
                <c:pt idx="117">
                  <c:v>9.0229999999999998E-3</c:v>
                </c:pt>
                <c:pt idx="118">
                  <c:v>2.9191999999999999E-2</c:v>
                </c:pt>
                <c:pt idx="119">
                  <c:v>1.0787E-2</c:v>
                </c:pt>
                <c:pt idx="120">
                  <c:v>-2.2300000000000002E-3</c:v>
                </c:pt>
                <c:pt idx="121">
                  <c:v>1.8206E-2</c:v>
                </c:pt>
                <c:pt idx="122">
                  <c:v>1.011E-3</c:v>
                </c:pt>
                <c:pt idx="123">
                  <c:v>6.4009999999999996E-3</c:v>
                </c:pt>
                <c:pt idx="124">
                  <c:v>3.258E-3</c:v>
                </c:pt>
                <c:pt idx="125">
                  <c:v>-8.1400000000000005E-4</c:v>
                </c:pt>
                <c:pt idx="126">
                  <c:v>-3.5500000000000001E-4</c:v>
                </c:pt>
                <c:pt idx="127">
                  <c:v>-3.7859999999999999E-3</c:v>
                </c:pt>
                <c:pt idx="128">
                  <c:v>-6.7710000000000001E-3</c:v>
                </c:pt>
                <c:pt idx="129">
                  <c:v>-1.7516E-2</c:v>
                </c:pt>
                <c:pt idx="130">
                  <c:v>-2.5751E-2</c:v>
                </c:pt>
                <c:pt idx="131">
                  <c:v>2.7499999999999998E-3</c:v>
                </c:pt>
                <c:pt idx="132">
                  <c:v>-1.8672999999999999E-2</c:v>
                </c:pt>
                <c:pt idx="133">
                  <c:v>1.1728000000000001E-2</c:v>
                </c:pt>
                <c:pt idx="134">
                  <c:v>3.8860000000000001E-3</c:v>
                </c:pt>
                <c:pt idx="135">
                  <c:v>1.3419E-2</c:v>
                </c:pt>
                <c:pt idx="136">
                  <c:v>6.7400000000000003E-3</c:v>
                </c:pt>
                <c:pt idx="137">
                  <c:v>3.6017E-2</c:v>
                </c:pt>
                <c:pt idx="138">
                  <c:v>-2.1374000000000001E-2</c:v>
                </c:pt>
                <c:pt idx="139">
                  <c:v>4.7349999999999996E-3</c:v>
                </c:pt>
                <c:pt idx="140">
                  <c:v>2.9349E-2</c:v>
                </c:pt>
                <c:pt idx="141">
                  <c:v>1.8142999999999999E-2</c:v>
                </c:pt>
                <c:pt idx="142">
                  <c:v>-1.1684E-2</c:v>
                </c:pt>
                <c:pt idx="143">
                  <c:v>4.7710000000000001E-3</c:v>
                </c:pt>
                <c:pt idx="144">
                  <c:v>-9.9150000000000002E-3</c:v>
                </c:pt>
                <c:pt idx="145">
                  <c:v>9.0600000000000003E-3</c:v>
                </c:pt>
                <c:pt idx="146">
                  <c:v>1.2210000000000001E-3</c:v>
                </c:pt>
                <c:pt idx="147">
                  <c:v>-2.6059999999999998E-3</c:v>
                </c:pt>
                <c:pt idx="148">
                  <c:v>-7.4279999999999997E-3</c:v>
                </c:pt>
                <c:pt idx="149">
                  <c:v>-3.8482000000000002E-2</c:v>
                </c:pt>
                <c:pt idx="150">
                  <c:v>3.7499999999999999E-3</c:v>
                </c:pt>
                <c:pt idx="151">
                  <c:v>9.3340000000000003E-3</c:v>
                </c:pt>
                <c:pt idx="152">
                  <c:v>-1.286E-3</c:v>
                </c:pt>
                <c:pt idx="153">
                  <c:v>2.2877000000000002E-2</c:v>
                </c:pt>
                <c:pt idx="154">
                  <c:v>-6.0800000000000003E-3</c:v>
                </c:pt>
                <c:pt idx="155">
                  <c:v>-7.8300000000000002E-3</c:v>
                </c:pt>
                <c:pt idx="156">
                  <c:v>2.8645E-2</c:v>
                </c:pt>
                <c:pt idx="157">
                  <c:v>-1.4200000000000001E-4</c:v>
                </c:pt>
                <c:pt idx="158">
                  <c:v>-2.2438E-2</c:v>
                </c:pt>
                <c:pt idx="159">
                  <c:v>-1.8929999999999999E-3</c:v>
                </c:pt>
                <c:pt idx="160">
                  <c:v>1.0314E-2</c:v>
                </c:pt>
                <c:pt idx="161">
                  <c:v>-4.875E-3</c:v>
                </c:pt>
                <c:pt idx="162">
                  <c:v>5.6990000000000001E-3</c:v>
                </c:pt>
                <c:pt idx="163">
                  <c:v>1.3252999999999999E-2</c:v>
                </c:pt>
                <c:pt idx="164">
                  <c:v>0.10168199999999999</c:v>
                </c:pt>
                <c:pt idx="165">
                  <c:v>3.0955E-2</c:v>
                </c:pt>
                <c:pt idx="166">
                  <c:v>1.4871000000000001E-2</c:v>
                </c:pt>
                <c:pt idx="167">
                  <c:v>9.3699999999999999E-3</c:v>
                </c:pt>
                <c:pt idx="168">
                  <c:v>-2.273E-2</c:v>
                </c:pt>
                <c:pt idx="169">
                  <c:v>2.2360000000000001E-3</c:v>
                </c:pt>
                <c:pt idx="170">
                  <c:v>6.0089999999999996E-3</c:v>
                </c:pt>
                <c:pt idx="171">
                  <c:v>-5.0699999999999999E-3</c:v>
                </c:pt>
                <c:pt idx="172">
                  <c:v>-4.5799999999999999E-3</c:v>
                </c:pt>
                <c:pt idx="173">
                  <c:v>-1.1056E-2</c:v>
                </c:pt>
                <c:pt idx="174">
                  <c:v>6.1339999999999997E-3</c:v>
                </c:pt>
                <c:pt idx="175">
                  <c:v>-1.3780000000000001E-3</c:v>
                </c:pt>
                <c:pt idx="176">
                  <c:v>4.9829999999999996E-3</c:v>
                </c:pt>
                <c:pt idx="177">
                  <c:v>-6.2009999999999999E-3</c:v>
                </c:pt>
                <c:pt idx="178">
                  <c:v>-5.9870000000000001E-3</c:v>
                </c:pt>
                <c:pt idx="179">
                  <c:v>4.3769000000000002E-2</c:v>
                </c:pt>
                <c:pt idx="180">
                  <c:v>2.4098000000000001E-2</c:v>
                </c:pt>
                <c:pt idx="181">
                  <c:v>-1.6154000000000002E-2</c:v>
                </c:pt>
                <c:pt idx="182">
                  <c:v>-1.5219E-2</c:v>
                </c:pt>
                <c:pt idx="183">
                  <c:v>-3.0999999999999999E-3</c:v>
                </c:pt>
                <c:pt idx="184">
                  <c:v>2.6030000000000001E-2</c:v>
                </c:pt>
                <c:pt idx="185">
                  <c:v>-8.3789999999999993E-3</c:v>
                </c:pt>
                <c:pt idx="186">
                  <c:v>6.9839999999999998E-3</c:v>
                </c:pt>
                <c:pt idx="187">
                  <c:v>2.3578000000000002E-2</c:v>
                </c:pt>
                <c:pt idx="188">
                  <c:v>-8.6630000000000006E-3</c:v>
                </c:pt>
                <c:pt idx="189">
                  <c:v>1.0739E-2</c:v>
                </c:pt>
                <c:pt idx="190">
                  <c:v>2.6870000000000002E-2</c:v>
                </c:pt>
                <c:pt idx="191">
                  <c:v>-5.6829999999999997E-3</c:v>
                </c:pt>
                <c:pt idx="192">
                  <c:v>-2.8544E-2</c:v>
                </c:pt>
                <c:pt idx="193">
                  <c:v>-1.354E-3</c:v>
                </c:pt>
                <c:pt idx="194">
                  <c:v>1.7940999999999999E-2</c:v>
                </c:pt>
                <c:pt idx="195">
                  <c:v>-6.0819999999999997E-3</c:v>
                </c:pt>
                <c:pt idx="196">
                  <c:v>-6.4520000000000003E-3</c:v>
                </c:pt>
                <c:pt idx="197">
                  <c:v>1.6749E-2</c:v>
                </c:pt>
                <c:pt idx="198">
                  <c:v>-2.6710000000000002E-3</c:v>
                </c:pt>
                <c:pt idx="199">
                  <c:v>5.8240000000000002E-3</c:v>
                </c:pt>
                <c:pt idx="200">
                  <c:v>-1.1698999999999999E-2</c:v>
                </c:pt>
                <c:pt idx="201">
                  <c:v>2.0437E-2</c:v>
                </c:pt>
                <c:pt idx="202">
                  <c:v>3.7929999999999999E-3</c:v>
                </c:pt>
                <c:pt idx="203">
                  <c:v>1.1134E-2</c:v>
                </c:pt>
                <c:pt idx="204">
                  <c:v>-7.9649999999999999E-3</c:v>
                </c:pt>
                <c:pt idx="205">
                  <c:v>8.4749999999999999E-3</c:v>
                </c:pt>
                <c:pt idx="206">
                  <c:v>-8.7600000000000004E-4</c:v>
                </c:pt>
                <c:pt idx="207">
                  <c:v>2.833E-3</c:v>
                </c:pt>
                <c:pt idx="208">
                  <c:v>-2.5284000000000001E-2</c:v>
                </c:pt>
                <c:pt idx="209">
                  <c:v>-1.0156999999999999E-2</c:v>
                </c:pt>
                <c:pt idx="210">
                  <c:v>1.1427E-2</c:v>
                </c:pt>
                <c:pt idx="211">
                  <c:v>-1.63E-4</c:v>
                </c:pt>
                <c:pt idx="212">
                  <c:v>2.5510000000000001E-2</c:v>
                </c:pt>
                <c:pt idx="213">
                  <c:v>-2.0750999999999999E-2</c:v>
                </c:pt>
                <c:pt idx="214">
                  <c:v>3.0386E-2</c:v>
                </c:pt>
                <c:pt idx="215">
                  <c:v>-1.2289E-2</c:v>
                </c:pt>
                <c:pt idx="216">
                  <c:v>-1.6381E-2</c:v>
                </c:pt>
                <c:pt idx="217">
                  <c:v>6.1399999999999996E-4</c:v>
                </c:pt>
                <c:pt idx="218">
                  <c:v>1.6355000000000001E-2</c:v>
                </c:pt>
                <c:pt idx="219">
                  <c:v>-9.5080000000000008E-3</c:v>
                </c:pt>
                <c:pt idx="220">
                  <c:v>-2.5498E-2</c:v>
                </c:pt>
                <c:pt idx="221">
                  <c:v>1.6936E-2</c:v>
                </c:pt>
                <c:pt idx="222">
                  <c:v>-6.2220000000000001E-3</c:v>
                </c:pt>
                <c:pt idx="223">
                  <c:v>-5.1130000000000004E-3</c:v>
                </c:pt>
                <c:pt idx="224">
                  <c:v>-9.5336000000000004E-2</c:v>
                </c:pt>
                <c:pt idx="225">
                  <c:v>-7.9299999999999998E-4</c:v>
                </c:pt>
                <c:pt idx="226">
                  <c:v>4.0894E-2</c:v>
                </c:pt>
                <c:pt idx="227">
                  <c:v>-3.9956999999999999E-2</c:v>
                </c:pt>
                <c:pt idx="228">
                  <c:v>1.7287E-2</c:v>
                </c:pt>
                <c:pt idx="229">
                  <c:v>-6.3410000000000003E-3</c:v>
                </c:pt>
                <c:pt idx="230">
                  <c:v>-3.1050000000000001E-3</c:v>
                </c:pt>
                <c:pt idx="231">
                  <c:v>-1.5944E-2</c:v>
                </c:pt>
                <c:pt idx="232">
                  <c:v>1.941E-3</c:v>
                </c:pt>
                <c:pt idx="233">
                  <c:v>2.4069E-2</c:v>
                </c:pt>
                <c:pt idx="234">
                  <c:v>2.4798000000000001E-2</c:v>
                </c:pt>
                <c:pt idx="235">
                  <c:v>2.9977E-2</c:v>
                </c:pt>
                <c:pt idx="236">
                  <c:v>1.5013E-2</c:v>
                </c:pt>
                <c:pt idx="237">
                  <c:v>5.7099999999999998E-3</c:v>
                </c:pt>
                <c:pt idx="238">
                  <c:v>4.2900000000000004E-3</c:v>
                </c:pt>
                <c:pt idx="239">
                  <c:v>-1.9949999999999998E-3</c:v>
                </c:pt>
                <c:pt idx="240">
                  <c:v>9.3200000000000002E-3</c:v>
                </c:pt>
                <c:pt idx="241">
                  <c:v>-4.7629999999999999E-3</c:v>
                </c:pt>
                <c:pt idx="242">
                  <c:v>-2.2800000000000001E-4</c:v>
                </c:pt>
                <c:pt idx="243">
                  <c:v>-4.9020000000000001E-3</c:v>
                </c:pt>
                <c:pt idx="244">
                  <c:v>1.7180999999999998E-2</c:v>
                </c:pt>
                <c:pt idx="245">
                  <c:v>3.1257E-2</c:v>
                </c:pt>
                <c:pt idx="246">
                  <c:v>1.5162E-2</c:v>
                </c:pt>
                <c:pt idx="247">
                  <c:v>-1.5708E-2</c:v>
                </c:pt>
                <c:pt idx="248">
                  <c:v>-7.5230000000000002E-3</c:v>
                </c:pt>
                <c:pt idx="249">
                  <c:v>1.728E-2</c:v>
                </c:pt>
                <c:pt idx="250">
                  <c:v>0.64675000000000005</c:v>
                </c:pt>
              </c:numCache>
            </c:numRef>
          </c:val>
          <c:smooth val="0"/>
          <c:extLst>
            <c:ext xmlns:c16="http://schemas.microsoft.com/office/drawing/2014/chart" uri="{C3380CC4-5D6E-409C-BE32-E72D297353CC}">
              <c16:uniqueId val="{00000003-C12E-4974-81F6-4048F8F19A91}"/>
            </c:ext>
          </c:extLst>
        </c:ser>
        <c:ser>
          <c:idx val="4"/>
          <c:order val="4"/>
          <c:tx>
            <c:strRef>
              <c:f>Q6_ii_RawData!$F$1</c:f>
              <c:strCache>
                <c:ptCount val="1"/>
                <c:pt idx="0">
                  <c:v>NIO</c:v>
                </c:pt>
              </c:strCache>
            </c:strRef>
          </c:tx>
          <c:spPr>
            <a:ln w="28440" cap="rnd">
              <a:solidFill>
                <a:srgbClr val="4BACC6"/>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Q6_ii_RawData!$F$2:$F$252</c:f>
              <c:numCache>
                <c:formatCode>General</c:formatCode>
                <c:ptCount val="251"/>
                <c:pt idx="0">
                  <c:v>-3.8390000000000001E-2</c:v>
                </c:pt>
                <c:pt idx="1">
                  <c:v>1.6064999999999999E-2</c:v>
                </c:pt>
                <c:pt idx="2">
                  <c:v>1.3270000000000001E-3</c:v>
                </c:pt>
                <c:pt idx="3">
                  <c:v>2.6489999999999999E-3</c:v>
                </c:pt>
                <c:pt idx="4">
                  <c:v>1.4445E-2</c:v>
                </c:pt>
                <c:pt idx="5">
                  <c:v>2.7011E-2</c:v>
                </c:pt>
                <c:pt idx="6">
                  <c:v>-1.5346E-2</c:v>
                </c:pt>
                <c:pt idx="7">
                  <c:v>3.859E-3</c:v>
                </c:pt>
                <c:pt idx="8">
                  <c:v>-7.7320000000000002E-3</c:v>
                </c:pt>
                <c:pt idx="9">
                  <c:v>8.3123000000000002E-2</c:v>
                </c:pt>
                <c:pt idx="10">
                  <c:v>5.6695000000000002E-2</c:v>
                </c:pt>
                <c:pt idx="11">
                  <c:v>1.7838E-2</c:v>
                </c:pt>
                <c:pt idx="12">
                  <c:v>7.8597E-2</c:v>
                </c:pt>
                <c:pt idx="13">
                  <c:v>-4.0652000000000001E-2</c:v>
                </c:pt>
                <c:pt idx="14">
                  <c:v>-5.3330000000000001E-3</c:v>
                </c:pt>
                <c:pt idx="15">
                  <c:v>-3.0404E-2</c:v>
                </c:pt>
                <c:pt idx="16">
                  <c:v>-1.6676E-2</c:v>
                </c:pt>
                <c:pt idx="17">
                  <c:v>-5.6499000000000001E-2</c:v>
                </c:pt>
                <c:pt idx="18">
                  <c:v>-3.565E-3</c:v>
                </c:pt>
                <c:pt idx="19">
                  <c:v>0.106075</c:v>
                </c:pt>
                <c:pt idx="20">
                  <c:v>1.9088999999999998E-2</c:v>
                </c:pt>
                <c:pt idx="21">
                  <c:v>-1.375E-2</c:v>
                </c:pt>
                <c:pt idx="22">
                  <c:v>3.1448999999999998E-2</c:v>
                </c:pt>
                <c:pt idx="23">
                  <c:v>3.4486000000000003E-2</c:v>
                </c:pt>
                <c:pt idx="24">
                  <c:v>1.8766000000000001E-2</c:v>
                </c:pt>
                <c:pt idx="25">
                  <c:v>-6.6758999999999999E-2</c:v>
                </c:pt>
                <c:pt idx="26">
                  <c:v>4.3997000000000001E-2</c:v>
                </c:pt>
                <c:pt idx="27">
                  <c:v>7.6107999999999995E-2</c:v>
                </c:pt>
                <c:pt idx="28">
                  <c:v>2.7789999999999998E-3</c:v>
                </c:pt>
                <c:pt idx="29">
                  <c:v>3.1864000000000003E-2</c:v>
                </c:pt>
                <c:pt idx="30">
                  <c:v>-3.6499999999999998E-2</c:v>
                </c:pt>
                <c:pt idx="31">
                  <c:v>-2.0657999999999999E-2</c:v>
                </c:pt>
                <c:pt idx="32">
                  <c:v>1.8959999999999999E-3</c:v>
                </c:pt>
                <c:pt idx="33">
                  <c:v>-1.3346E-2</c:v>
                </c:pt>
                <c:pt idx="34">
                  <c:v>2.0892999999999998E-2</c:v>
                </c:pt>
                <c:pt idx="35">
                  <c:v>-3.0537000000000002E-2</c:v>
                </c:pt>
                <c:pt idx="36">
                  <c:v>2.4882000000000001E-2</c:v>
                </c:pt>
                <c:pt idx="37">
                  <c:v>0.103184</c:v>
                </c:pt>
                <c:pt idx="38">
                  <c:v>1.5228999999999999E-2</c:v>
                </c:pt>
                <c:pt idx="39">
                  <c:v>0.100563</c:v>
                </c:pt>
                <c:pt idx="40">
                  <c:v>5.3010000000000002E-3</c:v>
                </c:pt>
                <c:pt idx="41">
                  <c:v>0.107322</c:v>
                </c:pt>
                <c:pt idx="42">
                  <c:v>3.7288000000000002E-2</c:v>
                </c:pt>
                <c:pt idx="43">
                  <c:v>-4.4778999999999999E-2</c:v>
                </c:pt>
                <c:pt idx="44">
                  <c:v>-4.1099999999999999E-3</c:v>
                </c:pt>
                <c:pt idx="45">
                  <c:v>5.9291000000000003E-2</c:v>
                </c:pt>
                <c:pt idx="46">
                  <c:v>-4.9049000000000002E-2</c:v>
                </c:pt>
                <c:pt idx="47">
                  <c:v>6.7710000000000001E-3</c:v>
                </c:pt>
                <c:pt idx="48">
                  <c:v>-5.1933E-2</c:v>
                </c:pt>
                <c:pt idx="49">
                  <c:v>-4.4323000000000001E-2</c:v>
                </c:pt>
                <c:pt idx="50">
                  <c:v>-1.5724999999999999E-2</c:v>
                </c:pt>
                <c:pt idx="51">
                  <c:v>-2.6769999999999999E-2</c:v>
                </c:pt>
                <c:pt idx="52">
                  <c:v>-2.9899999999999999E-2</c:v>
                </c:pt>
                <c:pt idx="53">
                  <c:v>-5.6689000000000003E-2</c:v>
                </c:pt>
                <c:pt idx="54">
                  <c:v>-3.7025000000000002E-2</c:v>
                </c:pt>
                <c:pt idx="55">
                  <c:v>8.7340000000000004E-3</c:v>
                </c:pt>
                <c:pt idx="56">
                  <c:v>-7.4911000000000005E-2</c:v>
                </c:pt>
                <c:pt idx="57">
                  <c:v>2.5902999999999999E-2</c:v>
                </c:pt>
                <c:pt idx="58">
                  <c:v>-1.472E-2</c:v>
                </c:pt>
                <c:pt idx="59">
                  <c:v>4.6230000000000004E-3</c:v>
                </c:pt>
                <c:pt idx="60">
                  <c:v>-1.8623000000000001E-2</c:v>
                </c:pt>
                <c:pt idx="61">
                  <c:v>1.77E-2</c:v>
                </c:pt>
                <c:pt idx="62">
                  <c:v>1.7392000000000001E-2</c:v>
                </c:pt>
                <c:pt idx="63">
                  <c:v>-1.1867000000000001E-2</c:v>
                </c:pt>
                <c:pt idx="64">
                  <c:v>-2.0409E-2</c:v>
                </c:pt>
                <c:pt idx="65">
                  <c:v>-3.8209E-2</c:v>
                </c:pt>
                <c:pt idx="66">
                  <c:v>6.8668000000000007E-2</c:v>
                </c:pt>
                <c:pt idx="67">
                  <c:v>-1.7423999999999999E-2</c:v>
                </c:pt>
                <c:pt idx="68">
                  <c:v>-2.1506000000000001E-2</c:v>
                </c:pt>
                <c:pt idx="69">
                  <c:v>-4.8411999999999997E-2</c:v>
                </c:pt>
                <c:pt idx="70">
                  <c:v>-3.9760000000000004E-3</c:v>
                </c:pt>
                <c:pt idx="71">
                  <c:v>2.8475E-2</c:v>
                </c:pt>
                <c:pt idx="72">
                  <c:v>2.2967999999999999E-2</c:v>
                </c:pt>
                <c:pt idx="73">
                  <c:v>-4.8459000000000002E-2</c:v>
                </c:pt>
                <c:pt idx="74">
                  <c:v>3.032E-2</c:v>
                </c:pt>
                <c:pt idx="75">
                  <c:v>4.8050000000000002E-3</c:v>
                </c:pt>
                <c:pt idx="76">
                  <c:v>-1.1572000000000001E-2</c:v>
                </c:pt>
                <c:pt idx="77">
                  <c:v>-0.18718299999999999</c:v>
                </c:pt>
                <c:pt idx="78">
                  <c:v>3.1091000000000001E-2</c:v>
                </c:pt>
                <c:pt idx="79">
                  <c:v>-4.2854999999999997E-2</c:v>
                </c:pt>
                <c:pt idx="80">
                  <c:v>9.4230000000000008E-3</c:v>
                </c:pt>
                <c:pt idx="81">
                  <c:v>-2.1328E-2</c:v>
                </c:pt>
                <c:pt idx="82">
                  <c:v>7.1599999999999997E-3</c:v>
                </c:pt>
                <c:pt idx="83">
                  <c:v>5.9280000000000001E-3</c:v>
                </c:pt>
                <c:pt idx="84">
                  <c:v>5.1825000000000003E-2</c:v>
                </c:pt>
                <c:pt idx="85">
                  <c:v>1.4485E-2</c:v>
                </c:pt>
                <c:pt idx="86">
                  <c:v>-2.8043999999999999E-2</c:v>
                </c:pt>
                <c:pt idx="87">
                  <c:v>-2.069E-2</c:v>
                </c:pt>
                <c:pt idx="88">
                  <c:v>2.5231E-2</c:v>
                </c:pt>
                <c:pt idx="89">
                  <c:v>-1.9439999999999999E-2</c:v>
                </c:pt>
                <c:pt idx="90">
                  <c:v>6.9049999999999997E-3</c:v>
                </c:pt>
                <c:pt idx="91">
                  <c:v>-4.4555999999999998E-2</c:v>
                </c:pt>
                <c:pt idx="92">
                  <c:v>5.7091999999999997E-2</c:v>
                </c:pt>
                <c:pt idx="93">
                  <c:v>1.5730999999999998E-2</c:v>
                </c:pt>
                <c:pt idx="94">
                  <c:v>-6.0902999999999999E-2</c:v>
                </c:pt>
                <c:pt idx="95">
                  <c:v>3.5479999999999999E-3</c:v>
                </c:pt>
                <c:pt idx="96">
                  <c:v>5.8859999999999997E-3</c:v>
                </c:pt>
                <c:pt idx="97">
                  <c:v>1.173E-3</c:v>
                </c:pt>
                <c:pt idx="98">
                  <c:v>-7.5462000000000001E-2</c:v>
                </c:pt>
                <c:pt idx="99">
                  <c:v>-2.8206999999999999E-2</c:v>
                </c:pt>
                <c:pt idx="100">
                  <c:v>-1.4408000000000001E-2</c:v>
                </c:pt>
                <c:pt idx="101">
                  <c:v>1.3179999999999999E-3</c:v>
                </c:pt>
                <c:pt idx="102">
                  <c:v>6.3797000000000006E-2</c:v>
                </c:pt>
                <c:pt idx="103">
                  <c:v>-6.2480000000000001E-2</c:v>
                </c:pt>
                <c:pt idx="104">
                  <c:v>3.9399999999999999E-3</c:v>
                </c:pt>
                <c:pt idx="105">
                  <c:v>-2.5217E-2</c:v>
                </c:pt>
                <c:pt idx="106">
                  <c:v>1.0695E-2</c:v>
                </c:pt>
                <c:pt idx="107">
                  <c:v>-2.9692E-2</c:v>
                </c:pt>
                <c:pt idx="108">
                  <c:v>2.034E-2</c:v>
                </c:pt>
                <c:pt idx="109">
                  <c:v>4.4627E-2</c:v>
                </c:pt>
                <c:pt idx="110">
                  <c:v>5.4945000000000001E-2</c:v>
                </c:pt>
                <c:pt idx="111">
                  <c:v>-3.2101999999999999E-2</c:v>
                </c:pt>
                <c:pt idx="112">
                  <c:v>-1.0088E-2</c:v>
                </c:pt>
                <c:pt idx="113">
                  <c:v>3.7950000000000002E-3</c:v>
                </c:pt>
                <c:pt idx="114">
                  <c:v>-5.8495999999999999E-2</c:v>
                </c:pt>
                <c:pt idx="115">
                  <c:v>-3.1274000000000003E-2</c:v>
                </c:pt>
                <c:pt idx="116">
                  <c:v>-2.7659999999999998E-3</c:v>
                </c:pt>
                <c:pt idx="117">
                  <c:v>4.8658E-2</c:v>
                </c:pt>
                <c:pt idx="118">
                  <c:v>4.6399999999999997E-2</c:v>
                </c:pt>
                <c:pt idx="119">
                  <c:v>-7.0432999999999996E-2</c:v>
                </c:pt>
                <c:pt idx="120">
                  <c:v>-1.3519999999999999E-3</c:v>
                </c:pt>
                <c:pt idx="121">
                  <c:v>5.3996000000000002E-2</c:v>
                </c:pt>
                <c:pt idx="122">
                  <c:v>-3.7887999999999998E-2</c:v>
                </c:pt>
                <c:pt idx="123">
                  <c:v>-5.3400000000000001E-3</c:v>
                </c:pt>
                <c:pt idx="124">
                  <c:v>-9.4149999999999998E-3</c:v>
                </c:pt>
                <c:pt idx="125">
                  <c:v>-2.8788999999999999E-2</c:v>
                </c:pt>
                <c:pt idx="126">
                  <c:v>2.7780000000000001E-3</c:v>
                </c:pt>
                <c:pt idx="127">
                  <c:v>-4.1700000000000001E-3</c:v>
                </c:pt>
                <c:pt idx="128">
                  <c:v>1.2456999999999999E-2</c:v>
                </c:pt>
                <c:pt idx="129">
                  <c:v>-1.6643999999999999E-2</c:v>
                </c:pt>
                <c:pt idx="130">
                  <c:v>2.3498000000000002E-2</c:v>
                </c:pt>
                <c:pt idx="131">
                  <c:v>1.4916E-2</c:v>
                </c:pt>
                <c:pt idx="132">
                  <c:v>4.2167000000000003E-2</c:v>
                </c:pt>
                <c:pt idx="133">
                  <c:v>-3.4124000000000002E-2</c:v>
                </c:pt>
                <c:pt idx="134">
                  <c:v>-1.4795000000000001E-2</c:v>
                </c:pt>
                <c:pt idx="135">
                  <c:v>3.9845999999999999E-2</c:v>
                </c:pt>
                <c:pt idx="136">
                  <c:v>-5.4863000000000002E-2</c:v>
                </c:pt>
                <c:pt idx="137">
                  <c:v>2.1770000000000001E-2</c:v>
                </c:pt>
                <c:pt idx="138">
                  <c:v>5.6260999999999999E-2</c:v>
                </c:pt>
                <c:pt idx="139">
                  <c:v>1.5152000000000001E-2</c:v>
                </c:pt>
                <c:pt idx="140">
                  <c:v>4.5323000000000002E-2</c:v>
                </c:pt>
                <c:pt idx="141">
                  <c:v>5.4760000000000003E-2</c:v>
                </c:pt>
                <c:pt idx="142">
                  <c:v>-0.107631</c:v>
                </c:pt>
                <c:pt idx="143">
                  <c:v>4.5658999999999998E-2</c:v>
                </c:pt>
                <c:pt idx="144">
                  <c:v>1.5559999999999999E-2</c:v>
                </c:pt>
                <c:pt idx="145">
                  <c:v>0.10262499999999999</c:v>
                </c:pt>
                <c:pt idx="146">
                  <c:v>-2.4961000000000001E-2</c:v>
                </c:pt>
                <c:pt idx="147">
                  <c:v>3.5622000000000001E-2</c:v>
                </c:pt>
                <c:pt idx="148">
                  <c:v>-3.8924E-2</c:v>
                </c:pt>
                <c:pt idx="149">
                  <c:v>-7.4361999999999998E-2</c:v>
                </c:pt>
                <c:pt idx="150">
                  <c:v>9.4560000000000009E-3</c:v>
                </c:pt>
                <c:pt idx="151">
                  <c:v>-2.7432000000000002E-2</c:v>
                </c:pt>
                <c:pt idx="152">
                  <c:v>-2.5721000000000001E-2</c:v>
                </c:pt>
                <c:pt idx="153">
                  <c:v>-1.6261000000000001E-2</c:v>
                </c:pt>
                <c:pt idx="154">
                  <c:v>-4.7781999999999998E-2</c:v>
                </c:pt>
                <c:pt idx="155">
                  <c:v>-2.0041E-2</c:v>
                </c:pt>
                <c:pt idx="156">
                  <c:v>-1.3500000000000001E-3</c:v>
                </c:pt>
                <c:pt idx="157">
                  <c:v>-3.1573999999999998E-2</c:v>
                </c:pt>
                <c:pt idx="158">
                  <c:v>-9.0440999999999994E-2</c:v>
                </c:pt>
                <c:pt idx="159">
                  <c:v>-3.8914999999999998E-2</c:v>
                </c:pt>
                <c:pt idx="160">
                  <c:v>-3.1800000000000001E-3</c:v>
                </c:pt>
                <c:pt idx="161">
                  <c:v>-3.5659999999999997E-2</c:v>
                </c:pt>
                <c:pt idx="162">
                  <c:v>-1.3289E-2</c:v>
                </c:pt>
                <c:pt idx="163">
                  <c:v>3.7740000000000003E-2</c:v>
                </c:pt>
                <c:pt idx="164">
                  <c:v>-2.2801999999999999E-2</c:v>
                </c:pt>
                <c:pt idx="165">
                  <c:v>-4.9550000000000002E-3</c:v>
                </c:pt>
                <c:pt idx="166">
                  <c:v>1.6421000000000002E-2</c:v>
                </c:pt>
                <c:pt idx="167">
                  <c:v>0</c:v>
                </c:pt>
                <c:pt idx="168">
                  <c:v>-5.8692000000000001E-2</c:v>
                </c:pt>
                <c:pt idx="169">
                  <c:v>-2.9801000000000001E-2</c:v>
                </c:pt>
                <c:pt idx="170">
                  <c:v>1.5886999999999998E-2</c:v>
                </c:pt>
                <c:pt idx="171">
                  <c:v>-3.0224999999999998E-2</c:v>
                </c:pt>
                <c:pt idx="172">
                  <c:v>-2.9305999999999999E-2</c:v>
                </c:pt>
                <c:pt idx="173">
                  <c:v>0.11405899999999999</c:v>
                </c:pt>
                <c:pt idx="174">
                  <c:v>-2.8597000000000001E-2</c:v>
                </c:pt>
                <c:pt idx="175">
                  <c:v>-6.8490000000000001E-3</c:v>
                </c:pt>
                <c:pt idx="176">
                  <c:v>1.8724000000000001E-2</c:v>
                </c:pt>
                <c:pt idx="177">
                  <c:v>2.4979999999999999E-2</c:v>
                </c:pt>
                <c:pt idx="178">
                  <c:v>-6.4538999999999999E-2</c:v>
                </c:pt>
                <c:pt idx="179">
                  <c:v>5.1292999999999998E-2</c:v>
                </c:pt>
                <c:pt idx="180">
                  <c:v>1.4888999999999999E-2</c:v>
                </c:pt>
                <c:pt idx="181">
                  <c:v>8.1770000000000002E-3</c:v>
                </c:pt>
                <c:pt idx="182">
                  <c:v>-2.9753999999999999E-2</c:v>
                </c:pt>
                <c:pt idx="183">
                  <c:v>1.676E-3</c:v>
                </c:pt>
                <c:pt idx="184">
                  <c:v>-2.0305E-2</c:v>
                </c:pt>
                <c:pt idx="185">
                  <c:v>-8.0043000000000003E-2</c:v>
                </c:pt>
                <c:pt idx="186">
                  <c:v>4.5256999999999999E-2</c:v>
                </c:pt>
                <c:pt idx="187">
                  <c:v>2.2748000000000001E-2</c:v>
                </c:pt>
                <c:pt idx="188">
                  <c:v>-6.2465E-2</c:v>
                </c:pt>
                <c:pt idx="189">
                  <c:v>5.7260999999999999E-2</c:v>
                </c:pt>
                <c:pt idx="190">
                  <c:v>5.2040000000000003E-3</c:v>
                </c:pt>
                <c:pt idx="191">
                  <c:v>-8.1051999999999999E-2</c:v>
                </c:pt>
                <c:pt idx="192">
                  <c:v>2.7754000000000001E-2</c:v>
                </c:pt>
                <c:pt idx="193">
                  <c:v>5.1567000000000002E-2</c:v>
                </c:pt>
                <c:pt idx="194">
                  <c:v>0</c:v>
                </c:pt>
                <c:pt idx="195">
                  <c:v>5.1859999999999996E-3</c:v>
                </c:pt>
                <c:pt idx="196">
                  <c:v>5.0430999999999997E-2</c:v>
                </c:pt>
                <c:pt idx="197">
                  <c:v>1.4645999999999999E-2</c:v>
                </c:pt>
                <c:pt idx="198">
                  <c:v>-4.4599E-2</c:v>
                </c:pt>
                <c:pt idx="199">
                  <c:v>-5.9147999999999999E-2</c:v>
                </c:pt>
                <c:pt idx="200">
                  <c:v>0</c:v>
                </c:pt>
                <c:pt idx="201">
                  <c:v>-7.1939999999999999E-3</c:v>
                </c:pt>
                <c:pt idx="202">
                  <c:v>-6.5261E-2</c:v>
                </c:pt>
                <c:pt idx="203">
                  <c:v>-1.7493000000000002E-2</c:v>
                </c:pt>
                <c:pt idx="204">
                  <c:v>-1.9803000000000001E-2</c:v>
                </c:pt>
                <c:pt idx="205">
                  <c:v>-2.2245999999999998E-2</c:v>
                </c:pt>
                <c:pt idx="206">
                  <c:v>4.0819999999999997E-3</c:v>
                </c:pt>
                <c:pt idx="207">
                  <c:v>-2.6832999999999999E-2</c:v>
                </c:pt>
                <c:pt idx="208">
                  <c:v>-2.3281E-2</c:v>
                </c:pt>
                <c:pt idx="209">
                  <c:v>-3.7081999999999997E-2</c:v>
                </c:pt>
                <c:pt idx="210">
                  <c:v>3.0637000000000001E-2</c:v>
                </c:pt>
                <c:pt idx="211">
                  <c:v>-2.1787000000000001E-2</c:v>
                </c:pt>
                <c:pt idx="212">
                  <c:v>-1.1074000000000001E-2</c:v>
                </c:pt>
                <c:pt idx="213">
                  <c:v>2.225E-3</c:v>
                </c:pt>
                <c:pt idx="214">
                  <c:v>-2.4747999999999999E-2</c:v>
                </c:pt>
                <c:pt idx="215">
                  <c:v>-4.5659999999999997E-3</c:v>
                </c:pt>
                <c:pt idx="216">
                  <c:v>7.4925000000000005E-2</c:v>
                </c:pt>
                <c:pt idx="217">
                  <c:v>-2.5808000000000001E-2</c:v>
                </c:pt>
                <c:pt idx="218">
                  <c:v>-2.8731E-2</c:v>
                </c:pt>
                <c:pt idx="219">
                  <c:v>-8.1725999999999993E-2</c:v>
                </c:pt>
                <c:pt idx="220">
                  <c:v>-5.5014E-2</c:v>
                </c:pt>
                <c:pt idx="221">
                  <c:v>-2.078E-2</c:v>
                </c:pt>
                <c:pt idx="222">
                  <c:v>2.5908E-2</c:v>
                </c:pt>
                <c:pt idx="223">
                  <c:v>2.2756999999999999E-2</c:v>
                </c:pt>
                <c:pt idx="224">
                  <c:v>-5.1292999999999998E-2</c:v>
                </c:pt>
                <c:pt idx="225">
                  <c:v>5.1292999999999998E-2</c:v>
                </c:pt>
                <c:pt idx="226">
                  <c:v>2.4970000000000001E-3</c:v>
                </c:pt>
                <c:pt idx="227">
                  <c:v>3.4317E-2</c:v>
                </c:pt>
                <c:pt idx="228">
                  <c:v>-4.8310000000000002E-3</c:v>
                </c:pt>
                <c:pt idx="229">
                  <c:v>8.3574999999999997E-2</c:v>
                </c:pt>
                <c:pt idx="230">
                  <c:v>2.4204E-2</c:v>
                </c:pt>
                <c:pt idx="231">
                  <c:v>2.5752000000000001E-2</c:v>
                </c:pt>
                <c:pt idx="232">
                  <c:v>0.110222</c:v>
                </c:pt>
                <c:pt idx="233">
                  <c:v>5.8949000000000001E-2</c:v>
                </c:pt>
                <c:pt idx="234">
                  <c:v>-3.5839999999999999E-3</c:v>
                </c:pt>
                <c:pt idx="235">
                  <c:v>2.1315000000000001E-2</c:v>
                </c:pt>
                <c:pt idx="236">
                  <c:v>-3.2146000000000001E-2</c:v>
                </c:pt>
                <c:pt idx="237">
                  <c:v>-5.4066999999999997E-2</c:v>
                </c:pt>
                <c:pt idx="238">
                  <c:v>2.0854000000000001E-2</c:v>
                </c:pt>
                <c:pt idx="239">
                  <c:v>-5.0009999999999999E-2</c:v>
                </c:pt>
                <c:pt idx="240">
                  <c:v>6.4907999999999993E-2</c:v>
                </c:pt>
                <c:pt idx="241">
                  <c:v>6.7882999999999999E-2</c:v>
                </c:pt>
                <c:pt idx="242">
                  <c:v>-8.2780999999999993E-2</c:v>
                </c:pt>
                <c:pt idx="243">
                  <c:v>-1.3220000000000001E-2</c:v>
                </c:pt>
                <c:pt idx="244">
                  <c:v>3.7950000000000002E-3</c:v>
                </c:pt>
                <c:pt idx="245">
                  <c:v>-1.1429E-2</c:v>
                </c:pt>
                <c:pt idx="246">
                  <c:v>5.731E-3</c:v>
                </c:pt>
                <c:pt idx="247">
                  <c:v>-1.9070000000000001E-3</c:v>
                </c:pt>
                <c:pt idx="248">
                  <c:v>-8.7706000000000006E-2</c:v>
                </c:pt>
                <c:pt idx="249">
                  <c:v>6.2310000000000004E-3</c:v>
                </c:pt>
                <c:pt idx="250">
                  <c:v>4.8300000000000003E-2</c:v>
                </c:pt>
              </c:numCache>
            </c:numRef>
          </c:val>
          <c:smooth val="0"/>
          <c:extLst>
            <c:ext xmlns:c16="http://schemas.microsoft.com/office/drawing/2014/chart" uri="{C3380CC4-5D6E-409C-BE32-E72D297353CC}">
              <c16:uniqueId val="{00000004-C12E-4974-81F6-4048F8F19A91}"/>
            </c:ext>
          </c:extLst>
        </c:ser>
        <c:ser>
          <c:idx val="5"/>
          <c:order val="5"/>
          <c:tx>
            <c:strRef>
              <c:f>Q6_ii_RawData!$G$1</c:f>
              <c:strCache>
                <c:ptCount val="1"/>
                <c:pt idx="0">
                  <c:v>NOK</c:v>
                </c:pt>
              </c:strCache>
            </c:strRef>
          </c:tx>
          <c:spPr>
            <a:ln w="28440" cap="rnd">
              <a:solidFill>
                <a:srgbClr val="F79646"/>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Q6_ii_RawData!$G$2:$G$252</c:f>
              <c:numCache>
                <c:formatCode>General</c:formatCode>
                <c:ptCount val="251"/>
                <c:pt idx="0">
                  <c:v>0</c:v>
                </c:pt>
                <c:pt idx="1">
                  <c:v>-2.4870000000000001E-3</c:v>
                </c:pt>
                <c:pt idx="2">
                  <c:v>9.9109999999999997E-3</c:v>
                </c:pt>
                <c:pt idx="3">
                  <c:v>2.4889999999999999E-3</c:v>
                </c:pt>
                <c:pt idx="4">
                  <c:v>-4.9579999999999997E-3</c:v>
                </c:pt>
                <c:pt idx="5">
                  <c:v>-1.2435999999999999E-2</c:v>
                </c:pt>
                <c:pt idx="6">
                  <c:v>7.4799999999999997E-3</c:v>
                </c:pt>
                <c:pt idx="7">
                  <c:v>-7.4799999999999997E-3</c:v>
                </c:pt>
                <c:pt idx="8">
                  <c:v>2.5000000000000001E-3</c:v>
                </c:pt>
                <c:pt idx="9">
                  <c:v>1.9800999999999999E-2</c:v>
                </c:pt>
                <c:pt idx="10">
                  <c:v>0</c:v>
                </c:pt>
                <c:pt idx="11">
                  <c:v>1.7013E-2</c:v>
                </c:pt>
                <c:pt idx="12">
                  <c:v>2.145E-2</c:v>
                </c:pt>
                <c:pt idx="13">
                  <c:v>9.3760000000000007E-3</c:v>
                </c:pt>
                <c:pt idx="14">
                  <c:v>-1.8866999999999998E-2</c:v>
                </c:pt>
                <c:pt idx="15">
                  <c:v>-1.9230000000000001E-2</c:v>
                </c:pt>
                <c:pt idx="16">
                  <c:v>-1.2193000000000001E-2</c:v>
                </c:pt>
                <c:pt idx="17">
                  <c:v>-2.2383E-2</c:v>
                </c:pt>
                <c:pt idx="18">
                  <c:v>1.0012999999999999E-2</c:v>
                </c:pt>
                <c:pt idx="19">
                  <c:v>2.4563000000000001E-2</c:v>
                </c:pt>
                <c:pt idx="20">
                  <c:v>4.862E-3</c:v>
                </c:pt>
                <c:pt idx="21">
                  <c:v>2.4090000000000001E-3</c:v>
                </c:pt>
                <c:pt idx="22">
                  <c:v>2.4030000000000002E-3</c:v>
                </c:pt>
                <c:pt idx="23">
                  <c:v>1.9047000000000001E-2</c:v>
                </c:pt>
                <c:pt idx="24">
                  <c:v>-1.4257000000000001E-2</c:v>
                </c:pt>
                <c:pt idx="25">
                  <c:v>-9.6019999999999994E-3</c:v>
                </c:pt>
                <c:pt idx="26">
                  <c:v>2.4090000000000001E-3</c:v>
                </c:pt>
                <c:pt idx="27">
                  <c:v>4.8009999999999997E-3</c:v>
                </c:pt>
                <c:pt idx="28">
                  <c:v>7.1580000000000003E-3</c:v>
                </c:pt>
                <c:pt idx="29">
                  <c:v>1.8866999999999998E-2</c:v>
                </c:pt>
                <c:pt idx="30">
                  <c:v>1.6225E-2</c:v>
                </c:pt>
                <c:pt idx="31">
                  <c:v>-8.8898000000000005E-2</c:v>
                </c:pt>
                <c:pt idx="32">
                  <c:v>-3.3189000000000003E-2</c:v>
                </c:pt>
                <c:pt idx="33">
                  <c:v>7.7510000000000001E-3</c:v>
                </c:pt>
                <c:pt idx="34">
                  <c:v>1.5351E-2</c:v>
                </c:pt>
                <c:pt idx="35">
                  <c:v>-2.5379999999999999E-3</c:v>
                </c:pt>
                <c:pt idx="36">
                  <c:v>2.5379999999999999E-3</c:v>
                </c:pt>
                <c:pt idx="37">
                  <c:v>1.3734E-2</c:v>
                </c:pt>
                <c:pt idx="38">
                  <c:v>2.5240000000000002E-3</c:v>
                </c:pt>
                <c:pt idx="39">
                  <c:v>-2.5240000000000002E-3</c:v>
                </c:pt>
                <c:pt idx="40">
                  <c:v>-1.5278E-2</c:v>
                </c:pt>
                <c:pt idx="41">
                  <c:v>7.6680000000000003E-3</c:v>
                </c:pt>
                <c:pt idx="42">
                  <c:v>2.5430000000000001E-3</c:v>
                </c:pt>
                <c:pt idx="43">
                  <c:v>2.5370000000000002E-3</c:v>
                </c:pt>
                <c:pt idx="44">
                  <c:v>-2.5370000000000002E-3</c:v>
                </c:pt>
                <c:pt idx="45">
                  <c:v>-1.2781000000000001E-2</c:v>
                </c:pt>
                <c:pt idx="46">
                  <c:v>5.1320000000000003E-3</c:v>
                </c:pt>
                <c:pt idx="47">
                  <c:v>-2.5630000000000002E-3</c:v>
                </c:pt>
                <c:pt idx="48">
                  <c:v>0</c:v>
                </c:pt>
                <c:pt idx="49">
                  <c:v>0</c:v>
                </c:pt>
                <c:pt idx="50">
                  <c:v>1.2748000000000001E-2</c:v>
                </c:pt>
                <c:pt idx="51">
                  <c:v>-1.5317000000000001E-2</c:v>
                </c:pt>
                <c:pt idx="52">
                  <c:v>-5.1580000000000003E-3</c:v>
                </c:pt>
                <c:pt idx="53">
                  <c:v>-1.8238000000000001E-2</c:v>
                </c:pt>
                <c:pt idx="54">
                  <c:v>-1.059E-2</c:v>
                </c:pt>
                <c:pt idx="55">
                  <c:v>2.6580000000000002E-3</c:v>
                </c:pt>
                <c:pt idx="56">
                  <c:v>1.0562E-2</c:v>
                </c:pt>
                <c:pt idx="57">
                  <c:v>0</c:v>
                </c:pt>
                <c:pt idx="58">
                  <c:v>-2.63E-3</c:v>
                </c:pt>
                <c:pt idx="59">
                  <c:v>7.8689999999999993E-3</c:v>
                </c:pt>
                <c:pt idx="60">
                  <c:v>-1.5800999999999999E-2</c:v>
                </c:pt>
                <c:pt idx="61">
                  <c:v>7.9319999999999998E-3</c:v>
                </c:pt>
                <c:pt idx="62">
                  <c:v>1.3081000000000001E-2</c:v>
                </c:pt>
                <c:pt idx="63">
                  <c:v>2.5633E-2</c:v>
                </c:pt>
                <c:pt idx="64">
                  <c:v>7.5719999999999997E-3</c:v>
                </c:pt>
                <c:pt idx="65">
                  <c:v>2.5110000000000002E-3</c:v>
                </c:pt>
                <c:pt idx="66">
                  <c:v>0</c:v>
                </c:pt>
                <c:pt idx="67">
                  <c:v>2.5049999999999998E-3</c:v>
                </c:pt>
                <c:pt idx="68">
                  <c:v>1.2404999999999999E-2</c:v>
                </c:pt>
                <c:pt idx="69">
                  <c:v>4.9300000000000004E-3</c:v>
                </c:pt>
                <c:pt idx="70">
                  <c:v>-7.404E-3</c:v>
                </c:pt>
                <c:pt idx="71">
                  <c:v>7.404E-3</c:v>
                </c:pt>
                <c:pt idx="72">
                  <c:v>-4.9300000000000004E-3</c:v>
                </c:pt>
                <c:pt idx="73">
                  <c:v>-9.9330000000000009E-3</c:v>
                </c:pt>
                <c:pt idx="74">
                  <c:v>2.4919999999999999E-3</c:v>
                </c:pt>
                <c:pt idx="75">
                  <c:v>-2.2631999999999999E-2</c:v>
                </c:pt>
                <c:pt idx="76">
                  <c:v>5.0800000000000003E-3</c:v>
                </c:pt>
                <c:pt idx="77">
                  <c:v>1.2588E-2</c:v>
                </c:pt>
                <c:pt idx="78">
                  <c:v>-1.0057E-2</c:v>
                </c:pt>
                <c:pt idx="79">
                  <c:v>-2.3005999999999999E-2</c:v>
                </c:pt>
                <c:pt idx="80">
                  <c:v>5.1580000000000003E-3</c:v>
                </c:pt>
                <c:pt idx="81">
                  <c:v>-1.5528E-2</c:v>
                </c:pt>
                <c:pt idx="82">
                  <c:v>-2.6474999999999999E-2</c:v>
                </c:pt>
                <c:pt idx="83">
                  <c:v>-8.0520000000000001E-3</c:v>
                </c:pt>
                <c:pt idx="84">
                  <c:v>5.3660000000000001E-3</c:v>
                </c:pt>
                <c:pt idx="85">
                  <c:v>5.3660000000000001E-3</c:v>
                </c:pt>
                <c:pt idx="86">
                  <c:v>-5.3660000000000001E-3</c:v>
                </c:pt>
                <c:pt idx="87">
                  <c:v>-1.3513000000000001E-2</c:v>
                </c:pt>
                <c:pt idx="88">
                  <c:v>-1.3727E-2</c:v>
                </c:pt>
                <c:pt idx="89">
                  <c:v>-2.2332999999999999E-2</c:v>
                </c:pt>
                <c:pt idx="90">
                  <c:v>5.6080000000000001E-3</c:v>
                </c:pt>
                <c:pt idx="91">
                  <c:v>0</c:v>
                </c:pt>
                <c:pt idx="92">
                  <c:v>1.1181E-2</c:v>
                </c:pt>
                <c:pt idx="93">
                  <c:v>-8.3739999999999995E-3</c:v>
                </c:pt>
                <c:pt idx="94">
                  <c:v>0</c:v>
                </c:pt>
                <c:pt idx="95">
                  <c:v>-1.6931000000000002E-2</c:v>
                </c:pt>
                <c:pt idx="96">
                  <c:v>2.5305999999999999E-2</c:v>
                </c:pt>
                <c:pt idx="97">
                  <c:v>-3.1023999999999999E-2</c:v>
                </c:pt>
                <c:pt idx="98">
                  <c:v>-2.9061E-2</c:v>
                </c:pt>
                <c:pt idx="99">
                  <c:v>-5.4565000000000002E-2</c:v>
                </c:pt>
                <c:pt idx="100">
                  <c:v>-9.3959999999999998E-3</c:v>
                </c:pt>
                <c:pt idx="101">
                  <c:v>3.8159999999999999E-3</c:v>
                </c:pt>
                <c:pt idx="102">
                  <c:v>1.8800000000000001E-2</c:v>
                </c:pt>
                <c:pt idx="103">
                  <c:v>-3.114E-3</c:v>
                </c:pt>
                <c:pt idx="104">
                  <c:v>9.3139999999999994E-3</c:v>
                </c:pt>
                <c:pt idx="105">
                  <c:v>3.0860000000000002E-3</c:v>
                </c:pt>
                <c:pt idx="106">
                  <c:v>1.2215999999999999E-2</c:v>
                </c:pt>
                <c:pt idx="107">
                  <c:v>6.0679999999999996E-3</c:v>
                </c:pt>
                <c:pt idx="108">
                  <c:v>-2.137E-2</c:v>
                </c:pt>
                <c:pt idx="109">
                  <c:v>3.3366E-2</c:v>
                </c:pt>
                <c:pt idx="110">
                  <c:v>3.2319000000000001E-2</c:v>
                </c:pt>
                <c:pt idx="111">
                  <c:v>-8.7200000000000003E-3</c:v>
                </c:pt>
                <c:pt idx="112">
                  <c:v>0</c:v>
                </c:pt>
                <c:pt idx="113">
                  <c:v>1.4491E-2</c:v>
                </c:pt>
                <c:pt idx="114">
                  <c:v>-8.6689999999999996E-3</c:v>
                </c:pt>
                <c:pt idx="115">
                  <c:v>1.1542E-2</c:v>
                </c:pt>
                <c:pt idx="116">
                  <c:v>-2.8730000000000001E-3</c:v>
                </c:pt>
                <c:pt idx="117">
                  <c:v>2.5536E-2</c:v>
                </c:pt>
                <c:pt idx="118">
                  <c:v>5.5640000000000004E-3</c:v>
                </c:pt>
                <c:pt idx="119">
                  <c:v>-1.4014E-2</c:v>
                </c:pt>
                <c:pt idx="120">
                  <c:v>5.6410000000000002E-3</c:v>
                </c:pt>
                <c:pt idx="121">
                  <c:v>8.3730000000000002E-3</c:v>
                </c:pt>
                <c:pt idx="122">
                  <c:v>-1.6846E-2</c:v>
                </c:pt>
                <c:pt idx="123">
                  <c:v>0</c:v>
                </c:pt>
                <c:pt idx="124">
                  <c:v>5.6569999999999997E-3</c:v>
                </c:pt>
                <c:pt idx="125">
                  <c:v>-2.8249999999999998E-3</c:v>
                </c:pt>
                <c:pt idx="126">
                  <c:v>-5.6730000000000001E-3</c:v>
                </c:pt>
                <c:pt idx="127">
                  <c:v>1.1313999999999999E-2</c:v>
                </c:pt>
                <c:pt idx="128">
                  <c:v>-2.2727000000000001E-2</c:v>
                </c:pt>
                <c:pt idx="129">
                  <c:v>2.8730000000000001E-3</c:v>
                </c:pt>
                <c:pt idx="130">
                  <c:v>-9.9329000000000001E-2</c:v>
                </c:pt>
                <c:pt idx="131">
                  <c:v>-5.1957000000000003E-2</c:v>
                </c:pt>
                <c:pt idx="132">
                  <c:v>3.297E-3</c:v>
                </c:pt>
                <c:pt idx="133">
                  <c:v>2.9465999999999999E-2</c:v>
                </c:pt>
                <c:pt idx="134">
                  <c:v>2.5478000000000001E-2</c:v>
                </c:pt>
                <c:pt idx="135">
                  <c:v>-1.9039E-2</c:v>
                </c:pt>
                <c:pt idx="136">
                  <c:v>3.1556000000000001E-2</c:v>
                </c:pt>
                <c:pt idx="137">
                  <c:v>9.2860000000000009E-3</c:v>
                </c:pt>
                <c:pt idx="138">
                  <c:v>3.6240000000000001E-2</c:v>
                </c:pt>
                <c:pt idx="139">
                  <c:v>-3.3196999999999997E-2</c:v>
                </c:pt>
                <c:pt idx="140">
                  <c:v>-9.2239999999999996E-3</c:v>
                </c:pt>
                <c:pt idx="141">
                  <c:v>2.4465000000000001E-2</c:v>
                </c:pt>
                <c:pt idx="142">
                  <c:v>-1.8284000000000002E-2</c:v>
                </c:pt>
                <c:pt idx="143">
                  <c:v>9.1680000000000008E-3</c:v>
                </c:pt>
                <c:pt idx="144">
                  <c:v>2.4097E-2</c:v>
                </c:pt>
                <c:pt idx="145">
                  <c:v>-2.9849999999999998E-3</c:v>
                </c:pt>
                <c:pt idx="146">
                  <c:v>8.9269999999999992E-3</c:v>
                </c:pt>
                <c:pt idx="147">
                  <c:v>-2.967E-3</c:v>
                </c:pt>
                <c:pt idx="148">
                  <c:v>1.4716E-2</c:v>
                </c:pt>
                <c:pt idx="149">
                  <c:v>-2.9009999999999999E-3</c:v>
                </c:pt>
                <c:pt idx="150">
                  <c:v>-5.8900000000000003E-3</c:v>
                </c:pt>
                <c:pt idx="151">
                  <c:v>1.7536E-2</c:v>
                </c:pt>
                <c:pt idx="152">
                  <c:v>-2.9069999999999999E-3</c:v>
                </c:pt>
                <c:pt idx="153">
                  <c:v>2.8662E-2</c:v>
                </c:pt>
                <c:pt idx="154">
                  <c:v>-1.7086E-2</c:v>
                </c:pt>
                <c:pt idx="155">
                  <c:v>2.8730000000000001E-3</c:v>
                </c:pt>
                <c:pt idx="156">
                  <c:v>2.8340000000000001E-3</c:v>
                </c:pt>
                <c:pt idx="157">
                  <c:v>5.705E-3</c:v>
                </c:pt>
                <c:pt idx="158">
                  <c:v>-2.849E-3</c:v>
                </c:pt>
                <c:pt idx="159">
                  <c:v>-1.7233999999999999E-2</c:v>
                </c:pt>
                <c:pt idx="160">
                  <c:v>5.7879999999999997E-3</c:v>
                </c:pt>
                <c:pt idx="161">
                  <c:v>-1.1609E-2</c:v>
                </c:pt>
                <c:pt idx="162">
                  <c:v>-2.3598999999999998E-2</c:v>
                </c:pt>
                <c:pt idx="163">
                  <c:v>2.9849999999999998E-3</c:v>
                </c:pt>
                <c:pt idx="164">
                  <c:v>1.4789999999999999E-2</c:v>
                </c:pt>
                <c:pt idx="165">
                  <c:v>0.10828</c:v>
                </c:pt>
                <c:pt idx="166">
                  <c:v>5.2560000000000003E-3</c:v>
                </c:pt>
                <c:pt idx="167">
                  <c:v>1.6236E-2</c:v>
                </c:pt>
                <c:pt idx="168">
                  <c:v>-4.5177000000000002E-2</c:v>
                </c:pt>
                <c:pt idx="169">
                  <c:v>-2.1968000000000001E-2</c:v>
                </c:pt>
                <c:pt idx="170">
                  <c:v>-2.7910000000000001E-3</c:v>
                </c:pt>
                <c:pt idx="171">
                  <c:v>-1.1214E-2</c:v>
                </c:pt>
                <c:pt idx="172">
                  <c:v>2.823E-3</c:v>
                </c:pt>
                <c:pt idx="173">
                  <c:v>0</c:v>
                </c:pt>
                <c:pt idx="174">
                  <c:v>-2.823E-3</c:v>
                </c:pt>
                <c:pt idx="175">
                  <c:v>3.5972999999999998E-2</c:v>
                </c:pt>
                <c:pt idx="176">
                  <c:v>-2.4759E-2</c:v>
                </c:pt>
                <c:pt idx="177">
                  <c:v>8.3210000000000003E-3</c:v>
                </c:pt>
                <c:pt idx="178">
                  <c:v>-3.6581000000000002E-2</c:v>
                </c:pt>
                <c:pt idx="179">
                  <c:v>8.5590000000000006E-3</c:v>
                </c:pt>
                <c:pt idx="180">
                  <c:v>-2.8249999999999998E-3</c:v>
                </c:pt>
                <c:pt idx="181">
                  <c:v>1.1311E-2</c:v>
                </c:pt>
                <c:pt idx="182">
                  <c:v>-1.7045000000000001E-2</c:v>
                </c:pt>
                <c:pt idx="183">
                  <c:v>1.1405999999999999E-2</c:v>
                </c:pt>
                <c:pt idx="184">
                  <c:v>1.4054000000000001E-2</c:v>
                </c:pt>
                <c:pt idx="185">
                  <c:v>-1.1216E-2</c:v>
                </c:pt>
                <c:pt idx="186">
                  <c:v>-2.8389999999999999E-3</c:v>
                </c:pt>
                <c:pt idx="187">
                  <c:v>1.1277000000000001E-2</c:v>
                </c:pt>
                <c:pt idx="188">
                  <c:v>-2.8149999999999998E-3</c:v>
                </c:pt>
                <c:pt idx="189">
                  <c:v>-8.4620000000000008E-3</c:v>
                </c:pt>
                <c:pt idx="190">
                  <c:v>8.4620000000000008E-3</c:v>
                </c:pt>
                <c:pt idx="191">
                  <c:v>1.3937E-2</c:v>
                </c:pt>
                <c:pt idx="192">
                  <c:v>-2.5246000000000001E-2</c:v>
                </c:pt>
                <c:pt idx="193">
                  <c:v>4.1729000000000002E-2</c:v>
                </c:pt>
                <c:pt idx="194">
                  <c:v>8.1410000000000007E-3</c:v>
                </c:pt>
                <c:pt idx="195">
                  <c:v>-2.1847999999999999E-2</c:v>
                </c:pt>
                <c:pt idx="196">
                  <c:v>2.7680000000000001E-3</c:v>
                </c:pt>
                <c:pt idx="197">
                  <c:v>8.2299999999999995E-3</c:v>
                </c:pt>
                <c:pt idx="198">
                  <c:v>2.709E-3</c:v>
                </c:pt>
                <c:pt idx="199">
                  <c:v>-2.709E-3</c:v>
                </c:pt>
                <c:pt idx="200">
                  <c:v>8.1630000000000001E-3</c:v>
                </c:pt>
                <c:pt idx="201">
                  <c:v>-5.8590999999999997E-2</c:v>
                </c:pt>
                <c:pt idx="202">
                  <c:v>1.1408E-2</c:v>
                </c:pt>
                <c:pt idx="203">
                  <c:v>1.9699999999999999E-2</c:v>
                </c:pt>
                <c:pt idx="204">
                  <c:v>-2.7989999999999998E-3</c:v>
                </c:pt>
                <c:pt idx="205">
                  <c:v>0</c:v>
                </c:pt>
                <c:pt idx="206">
                  <c:v>-1.6900999999999999E-2</c:v>
                </c:pt>
                <c:pt idx="207">
                  <c:v>5.6849999999999999E-3</c:v>
                </c:pt>
                <c:pt idx="208">
                  <c:v>1.6806000000000001E-2</c:v>
                </c:pt>
                <c:pt idx="209">
                  <c:v>-1.6806000000000001E-2</c:v>
                </c:pt>
                <c:pt idx="210">
                  <c:v>-1.1372999999999999E-2</c:v>
                </c:pt>
                <c:pt idx="211">
                  <c:v>0</c:v>
                </c:pt>
                <c:pt idx="212">
                  <c:v>2.2589000000000001E-2</c:v>
                </c:pt>
                <c:pt idx="213">
                  <c:v>-1.4054000000000001E-2</c:v>
                </c:pt>
                <c:pt idx="214">
                  <c:v>-1.1405999999999999E-2</c:v>
                </c:pt>
                <c:pt idx="215">
                  <c:v>-2.849E-3</c:v>
                </c:pt>
                <c:pt idx="216">
                  <c:v>5.7200000000000003E-3</c:v>
                </c:pt>
                <c:pt idx="217">
                  <c:v>-2.3111E-2</c:v>
                </c:pt>
                <c:pt idx="218">
                  <c:v>0</c:v>
                </c:pt>
                <c:pt idx="219">
                  <c:v>-2.6667E-2</c:v>
                </c:pt>
                <c:pt idx="220">
                  <c:v>-9.0489999999999998E-3</c:v>
                </c:pt>
                <c:pt idx="221">
                  <c:v>9.0489999999999998E-3</c:v>
                </c:pt>
                <c:pt idx="222">
                  <c:v>0</c:v>
                </c:pt>
                <c:pt idx="223">
                  <c:v>3.5400000000000001E-2</c:v>
                </c:pt>
                <c:pt idx="224">
                  <c:v>2.0066000000000001E-2</c:v>
                </c:pt>
                <c:pt idx="225">
                  <c:v>5.9472999999999998E-2</c:v>
                </c:pt>
                <c:pt idx="226">
                  <c:v>-2.7179999999999999E-3</c:v>
                </c:pt>
                <c:pt idx="227">
                  <c:v>-8.1989999999999997E-3</c:v>
                </c:pt>
                <c:pt idx="228">
                  <c:v>-2.7190000000000001E-3</c:v>
                </c:pt>
                <c:pt idx="229">
                  <c:v>2.7190000000000001E-3</c:v>
                </c:pt>
                <c:pt idx="230">
                  <c:v>8.1989999999999997E-3</c:v>
                </c:pt>
                <c:pt idx="231">
                  <c:v>-8.1989999999999997E-3</c:v>
                </c:pt>
                <c:pt idx="232">
                  <c:v>0</c:v>
                </c:pt>
                <c:pt idx="233">
                  <c:v>5.4739999999999997E-3</c:v>
                </c:pt>
                <c:pt idx="234">
                  <c:v>5.4440000000000001E-3</c:v>
                </c:pt>
                <c:pt idx="235">
                  <c:v>8.0820000000000006E-3</c:v>
                </c:pt>
                <c:pt idx="236">
                  <c:v>5.3709999999999999E-3</c:v>
                </c:pt>
                <c:pt idx="237">
                  <c:v>-2.6819999999999999E-3</c:v>
                </c:pt>
                <c:pt idx="238">
                  <c:v>-2.689E-3</c:v>
                </c:pt>
                <c:pt idx="239">
                  <c:v>0</c:v>
                </c:pt>
                <c:pt idx="240">
                  <c:v>1.8644999999999998E-2</c:v>
                </c:pt>
                <c:pt idx="241">
                  <c:v>3.6278999999999999E-2</c:v>
                </c:pt>
                <c:pt idx="242">
                  <c:v>-1.5383000000000001E-2</c:v>
                </c:pt>
                <c:pt idx="243">
                  <c:v>2.5850000000000001E-3</c:v>
                </c:pt>
                <c:pt idx="244">
                  <c:v>7.6880000000000004E-3</c:v>
                </c:pt>
                <c:pt idx="245">
                  <c:v>-2.5897E-2</c:v>
                </c:pt>
                <c:pt idx="246">
                  <c:v>7.8289999999999992E-3</c:v>
                </c:pt>
                <c:pt idx="247">
                  <c:v>2.8263E-2</c:v>
                </c:pt>
                <c:pt idx="248">
                  <c:v>-2.5658E-2</c:v>
                </c:pt>
                <c:pt idx="249">
                  <c:v>0</c:v>
                </c:pt>
                <c:pt idx="250">
                  <c:v>3.6899000000000001E-2</c:v>
                </c:pt>
              </c:numCache>
            </c:numRef>
          </c:val>
          <c:smooth val="0"/>
          <c:extLst>
            <c:ext xmlns:c16="http://schemas.microsoft.com/office/drawing/2014/chart" uri="{C3380CC4-5D6E-409C-BE32-E72D297353CC}">
              <c16:uniqueId val="{00000005-C12E-4974-81F6-4048F8F19A91}"/>
            </c:ext>
          </c:extLst>
        </c:ser>
        <c:ser>
          <c:idx val="6"/>
          <c:order val="6"/>
          <c:tx>
            <c:strRef>
              <c:f>Q6_ii_RawData!$H$1</c:f>
              <c:strCache>
                <c:ptCount val="1"/>
                <c:pt idx="0">
                  <c:v>NVDA</c:v>
                </c:pt>
              </c:strCache>
            </c:strRef>
          </c:tx>
          <c:spPr>
            <a:ln w="28440" cap="rnd">
              <a:solidFill>
                <a:srgbClr val="2C4D75"/>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Q6_ii_RawData!$H$2:$H$252</c:f>
              <c:numCache>
                <c:formatCode>General</c:formatCode>
                <c:ptCount val="251"/>
                <c:pt idx="0">
                  <c:v>2.9475000000000001E-2</c:v>
                </c:pt>
                <c:pt idx="1">
                  <c:v>-5.8443000000000002E-2</c:v>
                </c:pt>
                <c:pt idx="2">
                  <c:v>4.9904999999999998E-2</c:v>
                </c:pt>
                <c:pt idx="3">
                  <c:v>-1.1200999999999999E-2</c:v>
                </c:pt>
                <c:pt idx="4">
                  <c:v>-3.973E-3</c:v>
                </c:pt>
                <c:pt idx="5">
                  <c:v>-1.3287999999999999E-2</c:v>
                </c:pt>
                <c:pt idx="6">
                  <c:v>-3.0873000000000001E-2</c:v>
                </c:pt>
                <c:pt idx="7">
                  <c:v>2.7244000000000001E-2</c:v>
                </c:pt>
                <c:pt idx="8">
                  <c:v>6.7289999999999997E-3</c:v>
                </c:pt>
                <c:pt idx="9">
                  <c:v>1.8200000000000001E-2</c:v>
                </c:pt>
                <c:pt idx="10">
                  <c:v>3.8263999999999999E-2</c:v>
                </c:pt>
                <c:pt idx="11">
                  <c:v>4.7019999999999999E-2</c:v>
                </c:pt>
                <c:pt idx="12">
                  <c:v>-8.0319999999999992E-3</c:v>
                </c:pt>
                <c:pt idx="13">
                  <c:v>9.1500000000000001E-4</c:v>
                </c:pt>
                <c:pt idx="14">
                  <c:v>2.5804000000000001E-2</c:v>
                </c:pt>
                <c:pt idx="15">
                  <c:v>-1.7569999999999999E-2</c:v>
                </c:pt>
                <c:pt idx="16">
                  <c:v>-4.6500000000000003E-4</c:v>
                </c:pt>
                <c:pt idx="17">
                  <c:v>-1.9148999999999999E-2</c:v>
                </c:pt>
                <c:pt idx="18">
                  <c:v>-3.8075999999999999E-2</c:v>
                </c:pt>
                <c:pt idx="19">
                  <c:v>3.0155999999999999E-2</c:v>
                </c:pt>
                <c:pt idx="20">
                  <c:v>-1.8291000000000002E-2</c:v>
                </c:pt>
                <c:pt idx="21">
                  <c:v>-7.2009999999999999E-3</c:v>
                </c:pt>
                <c:pt idx="22">
                  <c:v>3.5615000000000001E-2</c:v>
                </c:pt>
                <c:pt idx="23">
                  <c:v>2.6199999999999999E-3</c:v>
                </c:pt>
                <c:pt idx="24">
                  <c:v>-2.2650000000000001E-3</c:v>
                </c:pt>
                <c:pt idx="25">
                  <c:v>-5.071E-3</c:v>
                </c:pt>
                <c:pt idx="26">
                  <c:v>9.4560000000000009E-3</c:v>
                </c:pt>
                <c:pt idx="27">
                  <c:v>-7.6270000000000001E-3</c:v>
                </c:pt>
                <c:pt idx="28">
                  <c:v>5.3200000000000001E-3</c:v>
                </c:pt>
                <c:pt idx="29">
                  <c:v>3.4693000000000002E-2</c:v>
                </c:pt>
                <c:pt idx="30">
                  <c:v>4.6182000000000001E-2</c:v>
                </c:pt>
                <c:pt idx="31">
                  <c:v>-1.111E-2</c:v>
                </c:pt>
                <c:pt idx="32">
                  <c:v>2.1582E-2</c:v>
                </c:pt>
                <c:pt idx="33">
                  <c:v>2.1989999999999999E-2</c:v>
                </c:pt>
                <c:pt idx="34">
                  <c:v>-8.8190000000000004E-3</c:v>
                </c:pt>
                <c:pt idx="35">
                  <c:v>-3.3633000000000003E-2</c:v>
                </c:pt>
                <c:pt idx="36">
                  <c:v>-2.6963000000000001E-2</c:v>
                </c:pt>
                <c:pt idx="37">
                  <c:v>6.816E-3</c:v>
                </c:pt>
                <c:pt idx="38">
                  <c:v>2.3633999999999999E-2</c:v>
                </c:pt>
                <c:pt idx="39">
                  <c:v>-4.9810000000000002E-3</c:v>
                </c:pt>
                <c:pt idx="40">
                  <c:v>9.809E-3</c:v>
                </c:pt>
                <c:pt idx="41">
                  <c:v>1.8348E-2</c:v>
                </c:pt>
                <c:pt idx="42">
                  <c:v>-4.4999999999999999E-4</c:v>
                </c:pt>
                <c:pt idx="43">
                  <c:v>-4.7619999999999997E-3</c:v>
                </c:pt>
                <c:pt idx="44">
                  <c:v>-4.9319000000000002E-2</c:v>
                </c:pt>
                <c:pt idx="45">
                  <c:v>5.5409999999999999E-3</c:v>
                </c:pt>
                <c:pt idx="46">
                  <c:v>3.7000000000000002E-3</c:v>
                </c:pt>
                <c:pt idx="47">
                  <c:v>1.636E-2</c:v>
                </c:pt>
                <c:pt idx="48">
                  <c:v>-1.6718E-2</c:v>
                </c:pt>
                <c:pt idx="49">
                  <c:v>-4.8392999999999999E-2</c:v>
                </c:pt>
                <c:pt idx="50">
                  <c:v>-3.9090000000000001E-3</c:v>
                </c:pt>
                <c:pt idx="51">
                  <c:v>-3.6836000000000001E-2</c:v>
                </c:pt>
                <c:pt idx="52">
                  <c:v>6.8529999999999994E-2</c:v>
                </c:pt>
                <c:pt idx="53">
                  <c:v>4.2659999999999998E-3</c:v>
                </c:pt>
                <c:pt idx="54">
                  <c:v>-1.0387E-2</c:v>
                </c:pt>
                <c:pt idx="55">
                  <c:v>-3.271E-3</c:v>
                </c:pt>
                <c:pt idx="56">
                  <c:v>-1.0369999999999999E-3</c:v>
                </c:pt>
                <c:pt idx="57">
                  <c:v>8.1314999999999998E-2</c:v>
                </c:pt>
                <c:pt idx="58">
                  <c:v>-2.8048E-2</c:v>
                </c:pt>
                <c:pt idx="59">
                  <c:v>3.1215E-2</c:v>
                </c:pt>
                <c:pt idx="60">
                  <c:v>9.9799999999999997E-4</c:v>
                </c:pt>
                <c:pt idx="61">
                  <c:v>-2.4577000000000002E-2</c:v>
                </c:pt>
                <c:pt idx="62">
                  <c:v>1.7597000000000002E-2</c:v>
                </c:pt>
                <c:pt idx="63">
                  <c:v>4.0772000000000003E-2</c:v>
                </c:pt>
                <c:pt idx="64">
                  <c:v>9.7909999999999994E-3</c:v>
                </c:pt>
                <c:pt idx="65">
                  <c:v>1.8450000000000001E-3</c:v>
                </c:pt>
                <c:pt idx="66">
                  <c:v>-1.7288999999999999E-2</c:v>
                </c:pt>
                <c:pt idx="67">
                  <c:v>8.0400000000000003E-4</c:v>
                </c:pt>
                <c:pt idx="68">
                  <c:v>-3.1026999999999999E-2</c:v>
                </c:pt>
                <c:pt idx="69">
                  <c:v>-1.7576999999999999E-2</c:v>
                </c:pt>
                <c:pt idx="70">
                  <c:v>-1.4572999999999999E-2</c:v>
                </c:pt>
                <c:pt idx="71">
                  <c:v>-8.685E-3</c:v>
                </c:pt>
                <c:pt idx="72">
                  <c:v>-6.8409999999999999E-3</c:v>
                </c:pt>
                <c:pt idx="73">
                  <c:v>1.3613999999999999E-2</c:v>
                </c:pt>
                <c:pt idx="74">
                  <c:v>2.1099999999999999E-3</c:v>
                </c:pt>
                <c:pt idx="75">
                  <c:v>-3.7578E-2</c:v>
                </c:pt>
                <c:pt idx="76">
                  <c:v>1.503E-3</c:v>
                </c:pt>
                <c:pt idx="77">
                  <c:v>-1.0196E-2</c:v>
                </c:pt>
                <c:pt idx="78">
                  <c:v>-2.9877000000000001E-2</c:v>
                </c:pt>
                <c:pt idx="79">
                  <c:v>-2.9359E-2</c:v>
                </c:pt>
                <c:pt idx="80">
                  <c:v>1.4354E-2</c:v>
                </c:pt>
                <c:pt idx="81">
                  <c:v>1.4602E-2</c:v>
                </c:pt>
                <c:pt idx="82">
                  <c:v>-7.3940000000000004E-3</c:v>
                </c:pt>
                <c:pt idx="83">
                  <c:v>1.3202E-2</c:v>
                </c:pt>
                <c:pt idx="84">
                  <c:v>1.4518E-2</c:v>
                </c:pt>
                <c:pt idx="85">
                  <c:v>9.4699999999999993E-3</c:v>
                </c:pt>
                <c:pt idx="86">
                  <c:v>2.9068E-2</c:v>
                </c:pt>
                <c:pt idx="87">
                  <c:v>-2.8653999999999999E-2</c:v>
                </c:pt>
                <c:pt idx="88">
                  <c:v>1.1969E-2</c:v>
                </c:pt>
                <c:pt idx="89">
                  <c:v>1.4585000000000001E-2</c:v>
                </c:pt>
                <c:pt idx="90">
                  <c:v>2.3747999999999998E-2</c:v>
                </c:pt>
                <c:pt idx="91">
                  <c:v>-1.0742E-2</c:v>
                </c:pt>
                <c:pt idx="92">
                  <c:v>1.1528999999999999E-2</c:v>
                </c:pt>
                <c:pt idx="93">
                  <c:v>2.1770999999999999E-2</c:v>
                </c:pt>
                <c:pt idx="94">
                  <c:v>2.9650000000000002E-3</c:v>
                </c:pt>
                <c:pt idx="95">
                  <c:v>-3.2122999999999999E-2</c:v>
                </c:pt>
                <c:pt idx="96">
                  <c:v>1.3851E-2</c:v>
                </c:pt>
                <c:pt idx="97">
                  <c:v>-4.7925000000000002E-2</c:v>
                </c:pt>
                <c:pt idx="98">
                  <c:v>-4.0454999999999998E-2</c:v>
                </c:pt>
                <c:pt idx="99">
                  <c:v>-2.2529999999999998E-3</c:v>
                </c:pt>
                <c:pt idx="100">
                  <c:v>-1.7104999999999999E-2</c:v>
                </c:pt>
                <c:pt idx="101">
                  <c:v>3.7651999999999998E-2</c:v>
                </c:pt>
                <c:pt idx="102">
                  <c:v>1.5882E-2</c:v>
                </c:pt>
                <c:pt idx="103">
                  <c:v>-4.4108000000000001E-2</c:v>
                </c:pt>
                <c:pt idx="104">
                  <c:v>-3.5397999999999999E-2</c:v>
                </c:pt>
                <c:pt idx="105">
                  <c:v>4.3059999999999999E-3</c:v>
                </c:pt>
                <c:pt idx="106">
                  <c:v>1.6188000000000001E-2</c:v>
                </c:pt>
                <c:pt idx="107">
                  <c:v>-9.299E-3</c:v>
                </c:pt>
                <c:pt idx="108">
                  <c:v>3.7185999999999997E-2</c:v>
                </c:pt>
                <c:pt idx="109">
                  <c:v>2.7522000000000001E-2</c:v>
                </c:pt>
                <c:pt idx="110">
                  <c:v>3.3874000000000001E-2</c:v>
                </c:pt>
                <c:pt idx="111">
                  <c:v>1.6441000000000001E-2</c:v>
                </c:pt>
                <c:pt idx="112">
                  <c:v>4.45E-3</c:v>
                </c:pt>
                <c:pt idx="113">
                  <c:v>1.338E-2</c:v>
                </c:pt>
                <c:pt idx="114">
                  <c:v>8.0400000000000003E-3</c:v>
                </c:pt>
                <c:pt idx="115">
                  <c:v>2.9072000000000001E-2</c:v>
                </c:pt>
                <c:pt idx="116">
                  <c:v>5.8789999999999997E-3</c:v>
                </c:pt>
                <c:pt idx="117">
                  <c:v>2.1085E-2</c:v>
                </c:pt>
                <c:pt idx="118">
                  <c:v>-1.5587999999999999E-2</c:v>
                </c:pt>
                <c:pt idx="119">
                  <c:v>1.2037000000000001E-2</c:v>
                </c:pt>
                <c:pt idx="120">
                  <c:v>-3.6840000000000002E-3</c:v>
                </c:pt>
                <c:pt idx="121">
                  <c:v>2.2286E-2</c:v>
                </c:pt>
                <c:pt idx="122">
                  <c:v>-9.2680000000000002E-3</c:v>
                </c:pt>
                <c:pt idx="123">
                  <c:v>-2.4893999999999999E-2</c:v>
                </c:pt>
                <c:pt idx="124">
                  <c:v>-1.9484999999999999E-2</c:v>
                </c:pt>
                <c:pt idx="125">
                  <c:v>9.7070000000000004E-3</c:v>
                </c:pt>
                <c:pt idx="126">
                  <c:v>-8.7650000000000002E-3</c:v>
                </c:pt>
                <c:pt idx="127">
                  <c:v>6.6490000000000004E-3</c:v>
                </c:pt>
                <c:pt idx="128">
                  <c:v>-2.8872999999999999E-2</c:v>
                </c:pt>
                <c:pt idx="129">
                  <c:v>-1.07E-4</c:v>
                </c:pt>
                <c:pt idx="130">
                  <c:v>-2.7202E-2</c:v>
                </c:pt>
                <c:pt idx="131">
                  <c:v>2.3026999999999999E-2</c:v>
                </c:pt>
                <c:pt idx="132">
                  <c:v>-2.3092999999999999E-2</c:v>
                </c:pt>
                <c:pt idx="133">
                  <c:v>2.3736E-2</c:v>
                </c:pt>
                <c:pt idx="134">
                  <c:v>1.9342999999999999E-2</c:v>
                </c:pt>
                <c:pt idx="135">
                  <c:v>-1.8676999999999999E-2</c:v>
                </c:pt>
                <c:pt idx="136">
                  <c:v>2.1850000000000001E-2</c:v>
                </c:pt>
                <c:pt idx="137">
                  <c:v>9.0019999999999996E-3</c:v>
                </c:pt>
                <c:pt idx="138">
                  <c:v>5.4349999999999997E-3</c:v>
                </c:pt>
                <c:pt idx="139">
                  <c:v>1.1105E-2</c:v>
                </c:pt>
                <c:pt idx="140">
                  <c:v>2.3989E-2</c:v>
                </c:pt>
                <c:pt idx="141">
                  <c:v>-9.4900000000000002E-3</c:v>
                </c:pt>
                <c:pt idx="142">
                  <c:v>-3.0561000000000001E-2</c:v>
                </c:pt>
                <c:pt idx="143">
                  <c:v>1.8106000000000001E-2</c:v>
                </c:pt>
                <c:pt idx="144">
                  <c:v>-3.271E-3</c:v>
                </c:pt>
                <c:pt idx="145">
                  <c:v>9.1529999999999997E-3</c:v>
                </c:pt>
                <c:pt idx="146">
                  <c:v>2.7959999999999999E-3</c:v>
                </c:pt>
                <c:pt idx="147">
                  <c:v>2.1220000000000002E-3</c:v>
                </c:pt>
                <c:pt idx="148">
                  <c:v>0</c:v>
                </c:pt>
                <c:pt idx="149">
                  <c:v>-2.7720999999999999E-2</c:v>
                </c:pt>
                <c:pt idx="150">
                  <c:v>-1.2515E-2</c:v>
                </c:pt>
                <c:pt idx="151">
                  <c:v>8.9789999999999991E-3</c:v>
                </c:pt>
                <c:pt idx="152">
                  <c:v>2.2637999999999998E-2</c:v>
                </c:pt>
                <c:pt idx="153">
                  <c:v>6.2300000000000001E-2</c:v>
                </c:pt>
                <c:pt idx="154">
                  <c:v>1.6832E-2</c:v>
                </c:pt>
                <c:pt idx="155">
                  <c:v>2.2515E-2</c:v>
                </c:pt>
                <c:pt idx="156">
                  <c:v>8.6470000000000002E-3</c:v>
                </c:pt>
                <c:pt idx="157">
                  <c:v>-2.0439999999999998E-3</c:v>
                </c:pt>
                <c:pt idx="158">
                  <c:v>3.0103999999999999E-2</c:v>
                </c:pt>
                <c:pt idx="159">
                  <c:v>-5.8520000000000004E-3</c:v>
                </c:pt>
                <c:pt idx="160">
                  <c:v>1.8627999999999999E-2</c:v>
                </c:pt>
                <c:pt idx="161">
                  <c:v>4.0898999999999998E-2</c:v>
                </c:pt>
                <c:pt idx="162">
                  <c:v>2.7360000000000002E-3</c:v>
                </c:pt>
                <c:pt idx="163">
                  <c:v>3.663E-3</c:v>
                </c:pt>
                <c:pt idx="164">
                  <c:v>2.4565E-2</c:v>
                </c:pt>
                <c:pt idx="165">
                  <c:v>4.1479999999999998E-3</c:v>
                </c:pt>
                <c:pt idx="166">
                  <c:v>-9.5569999999999995E-3</c:v>
                </c:pt>
                <c:pt idx="167">
                  <c:v>2.3224000000000002E-2</c:v>
                </c:pt>
                <c:pt idx="168">
                  <c:v>4.934E-3</c:v>
                </c:pt>
                <c:pt idx="169">
                  <c:v>-2.0063999999999999E-2</c:v>
                </c:pt>
                <c:pt idx="170">
                  <c:v>2.4087000000000001E-2</c:v>
                </c:pt>
                <c:pt idx="171">
                  <c:v>4.8513000000000001E-2</c:v>
                </c:pt>
                <c:pt idx="172">
                  <c:v>4.6829999999999997E-2</c:v>
                </c:pt>
                <c:pt idx="173">
                  <c:v>-1.6123999999999999E-2</c:v>
                </c:pt>
                <c:pt idx="174">
                  <c:v>2.7126999999999998E-2</c:v>
                </c:pt>
                <c:pt idx="175">
                  <c:v>-6.5560000000000002E-3</c:v>
                </c:pt>
                <c:pt idx="176">
                  <c:v>3.5159999999999997E-2</c:v>
                </c:pt>
                <c:pt idx="177">
                  <c:v>1.593E-3</c:v>
                </c:pt>
                <c:pt idx="178">
                  <c:v>-1.663E-3</c:v>
                </c:pt>
                <c:pt idx="179">
                  <c:v>2.4271999999999998E-2</c:v>
                </c:pt>
                <c:pt idx="180">
                  <c:v>-1.695E-2</c:v>
                </c:pt>
                <c:pt idx="181">
                  <c:v>-6.2E-4</c:v>
                </c:pt>
                <c:pt idx="182">
                  <c:v>-4.4506999999999998E-2</c:v>
                </c:pt>
                <c:pt idx="183">
                  <c:v>-2.8923000000000001E-2</c:v>
                </c:pt>
                <c:pt idx="184">
                  <c:v>0.151869</c:v>
                </c:pt>
                <c:pt idx="185">
                  <c:v>3.5469999999999998E-3</c:v>
                </c:pt>
                <c:pt idx="186">
                  <c:v>3.483E-3</c:v>
                </c:pt>
                <c:pt idx="187">
                  <c:v>-4.9560000000000003E-3</c:v>
                </c:pt>
                <c:pt idx="188">
                  <c:v>-1.3276E-2</c:v>
                </c:pt>
                <c:pt idx="189">
                  <c:v>1.8485000000000001E-2</c:v>
                </c:pt>
                <c:pt idx="190">
                  <c:v>3.9251000000000001E-2</c:v>
                </c:pt>
                <c:pt idx="191">
                  <c:v>3.5319999999999997E-2</c:v>
                </c:pt>
                <c:pt idx="192">
                  <c:v>8.5400000000000007E-3</c:v>
                </c:pt>
                <c:pt idx="193">
                  <c:v>3.1331999999999999E-2</c:v>
                </c:pt>
                <c:pt idx="194">
                  <c:v>4.3772999999999999E-2</c:v>
                </c:pt>
                <c:pt idx="195">
                  <c:v>-5.7075000000000001E-2</c:v>
                </c:pt>
                <c:pt idx="196">
                  <c:v>-2.0243000000000001E-2</c:v>
                </c:pt>
                <c:pt idx="197">
                  <c:v>6.9126999999999994E-2</c:v>
                </c:pt>
                <c:pt idx="198">
                  <c:v>-1.1214999999999999E-2</c:v>
                </c:pt>
                <c:pt idx="199">
                  <c:v>-3.2926999999999998E-2</c:v>
                </c:pt>
                <c:pt idx="200">
                  <c:v>-1.217E-3</c:v>
                </c:pt>
                <c:pt idx="201">
                  <c:v>7.0109999999999999E-3</c:v>
                </c:pt>
                <c:pt idx="202">
                  <c:v>1.0605E-2</c:v>
                </c:pt>
                <c:pt idx="203">
                  <c:v>1.0836E-2</c:v>
                </c:pt>
                <c:pt idx="204">
                  <c:v>1.1694E-2</c:v>
                </c:pt>
                <c:pt idx="205">
                  <c:v>3.0735999999999999E-2</c:v>
                </c:pt>
                <c:pt idx="206">
                  <c:v>7.5329999999999998E-3</c:v>
                </c:pt>
                <c:pt idx="207">
                  <c:v>-2.6030000000000001E-2</c:v>
                </c:pt>
                <c:pt idx="208">
                  <c:v>-2.5284000000000001E-2</c:v>
                </c:pt>
                <c:pt idx="209">
                  <c:v>1.173E-3</c:v>
                </c:pt>
                <c:pt idx="210">
                  <c:v>7.7999999999999999E-5</c:v>
                </c:pt>
                <c:pt idx="211">
                  <c:v>-1.0132E-2</c:v>
                </c:pt>
                <c:pt idx="212">
                  <c:v>-5.4710000000000002E-3</c:v>
                </c:pt>
                <c:pt idx="213">
                  <c:v>-3.499E-2</c:v>
                </c:pt>
                <c:pt idx="214">
                  <c:v>2.4187E-2</c:v>
                </c:pt>
                <c:pt idx="215">
                  <c:v>-9.9919999999999991E-3</c:v>
                </c:pt>
                <c:pt idx="216">
                  <c:v>-2.0629999999999999E-2</c:v>
                </c:pt>
                <c:pt idx="217">
                  <c:v>1.9550000000000001E-2</c:v>
                </c:pt>
                <c:pt idx="218">
                  <c:v>4.0274999999999998E-2</c:v>
                </c:pt>
                <c:pt idx="219">
                  <c:v>-2.7182000000000001E-2</c:v>
                </c:pt>
                <c:pt idx="220">
                  <c:v>-2.5090000000000001E-2</c:v>
                </c:pt>
                <c:pt idx="221">
                  <c:v>1.6308E-2</c:v>
                </c:pt>
                <c:pt idx="222">
                  <c:v>-3.9433999999999997E-2</c:v>
                </c:pt>
                <c:pt idx="223">
                  <c:v>7.5389999999999997E-3</c:v>
                </c:pt>
                <c:pt idx="224">
                  <c:v>-0.105411</c:v>
                </c:pt>
                <c:pt idx="225">
                  <c:v>4.2622E-2</c:v>
                </c:pt>
                <c:pt idx="226">
                  <c:v>3.5881999999999997E-2</c:v>
                </c:pt>
                <c:pt idx="227">
                  <c:v>-3.3883000000000003E-2</c:v>
                </c:pt>
                <c:pt idx="228">
                  <c:v>3.6415999999999997E-2</c:v>
                </c:pt>
                <c:pt idx="229">
                  <c:v>5.9923999999999998E-2</c:v>
                </c:pt>
                <c:pt idx="230">
                  <c:v>2.5099999999999998E-4</c:v>
                </c:pt>
                <c:pt idx="231">
                  <c:v>-1.5559999999999999E-2</c:v>
                </c:pt>
                <c:pt idx="232">
                  <c:v>-3.9676999999999997E-2</c:v>
                </c:pt>
                <c:pt idx="233">
                  <c:v>3.2883000000000003E-2</c:v>
                </c:pt>
                <c:pt idx="234">
                  <c:v>3.4044999999999999E-2</c:v>
                </c:pt>
                <c:pt idx="235">
                  <c:v>3.7046000000000003E-2</c:v>
                </c:pt>
                <c:pt idx="236">
                  <c:v>-1.7363E-2</c:v>
                </c:pt>
                <c:pt idx="237">
                  <c:v>-1.5690000000000001E-3</c:v>
                </c:pt>
                <c:pt idx="238">
                  <c:v>-1.8586999999999999E-2</c:v>
                </c:pt>
                <c:pt idx="239">
                  <c:v>1.2663000000000001E-2</c:v>
                </c:pt>
                <c:pt idx="240">
                  <c:v>5.7800000000000004E-3</c:v>
                </c:pt>
                <c:pt idx="241">
                  <c:v>1.0531E-2</c:v>
                </c:pt>
                <c:pt idx="242">
                  <c:v>3.5209999999999998E-2</c:v>
                </c:pt>
                <c:pt idx="243">
                  <c:v>-2.8670000000000002E-3</c:v>
                </c:pt>
                <c:pt idx="244">
                  <c:v>-2.0126000000000002E-2</c:v>
                </c:pt>
                <c:pt idx="245">
                  <c:v>2.4577999999999999E-2</c:v>
                </c:pt>
                <c:pt idx="246">
                  <c:v>6.3730000000000002E-3</c:v>
                </c:pt>
                <c:pt idx="247">
                  <c:v>-4.5820000000000001E-3</c:v>
                </c:pt>
                <c:pt idx="248">
                  <c:v>8.9107000000000006E-2</c:v>
                </c:pt>
                <c:pt idx="249">
                  <c:v>2.5398E-2</c:v>
                </c:pt>
                <c:pt idx="250">
                  <c:v>1.06409</c:v>
                </c:pt>
              </c:numCache>
            </c:numRef>
          </c:val>
          <c:smooth val="0"/>
          <c:extLst>
            <c:ext xmlns:c16="http://schemas.microsoft.com/office/drawing/2014/chart" uri="{C3380CC4-5D6E-409C-BE32-E72D297353CC}">
              <c16:uniqueId val="{00000006-C12E-4974-81F6-4048F8F19A91}"/>
            </c:ext>
          </c:extLst>
        </c:ser>
        <c:ser>
          <c:idx val="7"/>
          <c:order val="7"/>
          <c:tx>
            <c:strRef>
              <c:f>Q6_ii_RawData!$I$1</c:f>
              <c:strCache>
                <c:ptCount val="1"/>
                <c:pt idx="0">
                  <c:v>RIG</c:v>
                </c:pt>
              </c:strCache>
            </c:strRef>
          </c:tx>
          <c:spPr>
            <a:ln w="28440" cap="rnd">
              <a:solidFill>
                <a:srgbClr val="772C2A"/>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Q6_ii_RawData!$I$2:$I$252</c:f>
              <c:numCache>
                <c:formatCode>General</c:formatCode>
                <c:ptCount val="251"/>
                <c:pt idx="0">
                  <c:v>-1.4623000000000001E-2</c:v>
                </c:pt>
                <c:pt idx="1">
                  <c:v>-6.5958000000000003E-2</c:v>
                </c:pt>
                <c:pt idx="2">
                  <c:v>6.9225999999999996E-2</c:v>
                </c:pt>
                <c:pt idx="3">
                  <c:v>7.084E-2</c:v>
                </c:pt>
                <c:pt idx="4">
                  <c:v>-4.0315999999999998E-2</c:v>
                </c:pt>
                <c:pt idx="5">
                  <c:v>-1.5839999999999999E-3</c:v>
                </c:pt>
                <c:pt idx="6">
                  <c:v>4.7429999999999998E-3</c:v>
                </c:pt>
                <c:pt idx="7">
                  <c:v>-6.3290000000000004E-3</c:v>
                </c:pt>
                <c:pt idx="8">
                  <c:v>-9.5689999999999994E-3</c:v>
                </c:pt>
                <c:pt idx="9">
                  <c:v>-8.8761000000000007E-2</c:v>
                </c:pt>
                <c:pt idx="10">
                  <c:v>2.5930999999999999E-2</c:v>
                </c:pt>
                <c:pt idx="11">
                  <c:v>4.9926999999999999E-2</c:v>
                </c:pt>
                <c:pt idx="12">
                  <c:v>9.6930000000000002E-3</c:v>
                </c:pt>
                <c:pt idx="13">
                  <c:v>1.606E-3</c:v>
                </c:pt>
                <c:pt idx="14">
                  <c:v>1.604E-3</c:v>
                </c:pt>
                <c:pt idx="15">
                  <c:v>7.9810000000000002E-3</c:v>
                </c:pt>
                <c:pt idx="16">
                  <c:v>-1.9262000000000001E-2</c:v>
                </c:pt>
                <c:pt idx="17">
                  <c:v>-2.9607000000000001E-2</c:v>
                </c:pt>
                <c:pt idx="18">
                  <c:v>4.7279000000000002E-2</c:v>
                </c:pt>
                <c:pt idx="19">
                  <c:v>-1.2821000000000001E-2</c:v>
                </c:pt>
                <c:pt idx="20">
                  <c:v>-2.1191000000000002E-2</c:v>
                </c:pt>
                <c:pt idx="21">
                  <c:v>5.6059999999999999E-2</c:v>
                </c:pt>
                <c:pt idx="22">
                  <c:v>8.7919999999999998E-2</c:v>
                </c:pt>
                <c:pt idx="23">
                  <c:v>-5.7219999999999997E-3</c:v>
                </c:pt>
                <c:pt idx="24">
                  <c:v>5.3085E-2</c:v>
                </c:pt>
                <c:pt idx="25">
                  <c:v>-6.8259999999999996E-3</c:v>
                </c:pt>
                <c:pt idx="26">
                  <c:v>5.7235000000000001E-2</c:v>
                </c:pt>
                <c:pt idx="27">
                  <c:v>3.3082E-2</c:v>
                </c:pt>
                <c:pt idx="28">
                  <c:v>2.8379000000000001E-2</c:v>
                </c:pt>
                <c:pt idx="29">
                  <c:v>-2.4632000000000001E-2</c:v>
                </c:pt>
                <c:pt idx="30">
                  <c:v>3.7339999999999999E-3</c:v>
                </c:pt>
                <c:pt idx="31">
                  <c:v>-3.0266999999999999E-2</c:v>
                </c:pt>
                <c:pt idx="32">
                  <c:v>1.5247999999999999E-2</c:v>
                </c:pt>
                <c:pt idx="33">
                  <c:v>6.5877000000000005E-2</c:v>
                </c:pt>
                <c:pt idx="34">
                  <c:v>-2.6317E-2</c:v>
                </c:pt>
                <c:pt idx="35">
                  <c:v>-7.2989999999999999E-3</c:v>
                </c:pt>
                <c:pt idx="36">
                  <c:v>-1.1050000000000001E-2</c:v>
                </c:pt>
                <c:pt idx="37">
                  <c:v>5.9898E-2</c:v>
                </c:pt>
                <c:pt idx="38">
                  <c:v>-7.0010000000000003E-3</c:v>
                </c:pt>
                <c:pt idx="39">
                  <c:v>-1.0595E-2</c:v>
                </c:pt>
                <c:pt idx="40">
                  <c:v>-3.0032E-2</c:v>
                </c:pt>
                <c:pt idx="41">
                  <c:v>4.1797000000000001E-2</c:v>
                </c:pt>
                <c:pt idx="42">
                  <c:v>2.8819999999999998E-2</c:v>
                </c:pt>
                <c:pt idx="43">
                  <c:v>-5.0097999999999997E-2</c:v>
                </c:pt>
                <c:pt idx="44">
                  <c:v>3.578E-3</c:v>
                </c:pt>
                <c:pt idx="45">
                  <c:v>1.1834000000000001E-2</c:v>
                </c:pt>
                <c:pt idx="46">
                  <c:v>-1.1770000000000001E-3</c:v>
                </c:pt>
                <c:pt idx="47">
                  <c:v>-4.3327999999999998E-2</c:v>
                </c:pt>
                <c:pt idx="48">
                  <c:v>1.7073999999999999E-2</c:v>
                </c:pt>
                <c:pt idx="49">
                  <c:v>1.3213000000000001E-2</c:v>
                </c:pt>
                <c:pt idx="50">
                  <c:v>7.1339999999999997E-3</c:v>
                </c:pt>
                <c:pt idx="51">
                  <c:v>1.8780000000000002E-2</c:v>
                </c:pt>
                <c:pt idx="52">
                  <c:v>-2.9500999999999999E-2</c:v>
                </c:pt>
                <c:pt idx="53">
                  <c:v>-2.4244000000000002E-2</c:v>
                </c:pt>
                <c:pt idx="54">
                  <c:v>0</c:v>
                </c:pt>
                <c:pt idx="55">
                  <c:v>-1.2345999999999999E-2</c:v>
                </c:pt>
                <c:pt idx="56">
                  <c:v>2.0898E-2</c:v>
                </c:pt>
                <c:pt idx="57">
                  <c:v>-1.4706E-2</c:v>
                </c:pt>
                <c:pt idx="58">
                  <c:v>-3.5180000000000003E-2</c:v>
                </c:pt>
                <c:pt idx="59">
                  <c:v>6.3740000000000003E-3</c:v>
                </c:pt>
                <c:pt idx="60">
                  <c:v>-3.3595E-2</c:v>
                </c:pt>
                <c:pt idx="61">
                  <c:v>1.4350999999999999E-2</c:v>
                </c:pt>
                <c:pt idx="62">
                  <c:v>0</c:v>
                </c:pt>
                <c:pt idx="63">
                  <c:v>2.8098999999999999E-2</c:v>
                </c:pt>
                <c:pt idx="64">
                  <c:v>2.8556000000000002E-2</c:v>
                </c:pt>
                <c:pt idx="65">
                  <c:v>1.2229999999999999E-3</c:v>
                </c:pt>
                <c:pt idx="66">
                  <c:v>3.3656999999999999E-2</c:v>
                </c:pt>
                <c:pt idx="67">
                  <c:v>-3.2434999999999999E-2</c:v>
                </c:pt>
                <c:pt idx="68">
                  <c:v>0</c:v>
                </c:pt>
                <c:pt idx="69">
                  <c:v>-1.3521999999999999E-2</c:v>
                </c:pt>
                <c:pt idx="70">
                  <c:v>1.23E-2</c:v>
                </c:pt>
                <c:pt idx="71">
                  <c:v>-7.3619999999999996E-3</c:v>
                </c:pt>
                <c:pt idx="72">
                  <c:v>6.7843000000000001E-2</c:v>
                </c:pt>
                <c:pt idx="73">
                  <c:v>-4.9537999999999999E-2</c:v>
                </c:pt>
                <c:pt idx="74">
                  <c:v>4.6080000000000003E-2</c:v>
                </c:pt>
                <c:pt idx="75">
                  <c:v>-4.1255E-2</c:v>
                </c:pt>
                <c:pt idx="76">
                  <c:v>-1.204E-3</c:v>
                </c:pt>
                <c:pt idx="77">
                  <c:v>-2.8101999999999999E-2</c:v>
                </c:pt>
                <c:pt idx="78">
                  <c:v>3.7109999999999999E-3</c:v>
                </c:pt>
                <c:pt idx="79">
                  <c:v>-1.8692E-2</c:v>
                </c:pt>
                <c:pt idx="80">
                  <c:v>2.3618E-2</c:v>
                </c:pt>
                <c:pt idx="81">
                  <c:v>2.9058E-2</c:v>
                </c:pt>
                <c:pt idx="82">
                  <c:v>4.7619999999999997E-3</c:v>
                </c:pt>
                <c:pt idx="83">
                  <c:v>1.6490000000000001E-2</c:v>
                </c:pt>
                <c:pt idx="84">
                  <c:v>-1.6490000000000001E-2</c:v>
                </c:pt>
                <c:pt idx="85">
                  <c:v>-2.5257000000000002E-2</c:v>
                </c:pt>
                <c:pt idx="86">
                  <c:v>-4.1024999999999999E-2</c:v>
                </c:pt>
                <c:pt idx="87">
                  <c:v>-1.6635E-2</c:v>
                </c:pt>
                <c:pt idx="88">
                  <c:v>-4.3513999999999997E-2</c:v>
                </c:pt>
                <c:pt idx="89">
                  <c:v>2.6596999999999999E-2</c:v>
                </c:pt>
                <c:pt idx="90">
                  <c:v>2.6210000000000001E-3</c:v>
                </c:pt>
                <c:pt idx="91">
                  <c:v>1.6872999999999999E-2</c:v>
                </c:pt>
                <c:pt idx="92">
                  <c:v>0</c:v>
                </c:pt>
                <c:pt idx="93">
                  <c:v>3.8539999999999998E-3</c:v>
                </c:pt>
                <c:pt idx="94">
                  <c:v>-2.9930999999999999E-2</c:v>
                </c:pt>
                <c:pt idx="95">
                  <c:v>1.8325000000000001E-2</c:v>
                </c:pt>
                <c:pt idx="96">
                  <c:v>-2.6283000000000001E-2</c:v>
                </c:pt>
                <c:pt idx="97">
                  <c:v>9.2779999999999998E-3</c:v>
                </c:pt>
                <c:pt idx="98">
                  <c:v>-2.674E-2</c:v>
                </c:pt>
                <c:pt idx="99">
                  <c:v>1.354E-3</c:v>
                </c:pt>
                <c:pt idx="100">
                  <c:v>-3.1618E-2</c:v>
                </c:pt>
                <c:pt idx="101">
                  <c:v>-8.4150000000000006E-3</c:v>
                </c:pt>
                <c:pt idx="102">
                  <c:v>-1.1332E-2</c:v>
                </c:pt>
                <c:pt idx="103">
                  <c:v>-2.1599E-2</c:v>
                </c:pt>
                <c:pt idx="104">
                  <c:v>-2.6550000000000001E-2</c:v>
                </c:pt>
                <c:pt idx="105">
                  <c:v>-2.1149000000000001E-2</c:v>
                </c:pt>
                <c:pt idx="106">
                  <c:v>1.214E-2</c:v>
                </c:pt>
                <c:pt idx="107">
                  <c:v>-1.5089999999999999E-3</c:v>
                </c:pt>
                <c:pt idx="108">
                  <c:v>4.5209999999999998E-3</c:v>
                </c:pt>
                <c:pt idx="109">
                  <c:v>3.5453999999999999E-2</c:v>
                </c:pt>
                <c:pt idx="110">
                  <c:v>-7.2830000000000004E-3</c:v>
                </c:pt>
                <c:pt idx="111">
                  <c:v>-2.8171000000000002E-2</c:v>
                </c:pt>
                <c:pt idx="112">
                  <c:v>-2.2814999999999998E-2</c:v>
                </c:pt>
                <c:pt idx="113">
                  <c:v>2.5818000000000001E-2</c:v>
                </c:pt>
                <c:pt idx="114">
                  <c:v>-1.5106E-2</c:v>
                </c:pt>
                <c:pt idx="115">
                  <c:v>1.2102999999999999E-2</c:v>
                </c:pt>
                <c:pt idx="116">
                  <c:v>-1.668E-2</c:v>
                </c:pt>
                <c:pt idx="117">
                  <c:v>1.5174999999999999E-2</c:v>
                </c:pt>
                <c:pt idx="118">
                  <c:v>-1.0598E-2</c:v>
                </c:pt>
                <c:pt idx="119">
                  <c:v>-5.3136999999999997E-2</c:v>
                </c:pt>
                <c:pt idx="120">
                  <c:v>4.2425999999999998E-2</c:v>
                </c:pt>
                <c:pt idx="121">
                  <c:v>-1.5504E-2</c:v>
                </c:pt>
                <c:pt idx="122">
                  <c:v>-1.8928E-2</c:v>
                </c:pt>
                <c:pt idx="123">
                  <c:v>1.591E-3</c:v>
                </c:pt>
                <c:pt idx="124">
                  <c:v>4.2029999999999998E-2</c:v>
                </c:pt>
                <c:pt idx="125">
                  <c:v>-3.2536000000000002E-2</c:v>
                </c:pt>
                <c:pt idx="126">
                  <c:v>-7.9050000000000006E-3</c:v>
                </c:pt>
                <c:pt idx="127">
                  <c:v>-7.9679999999999994E-3</c:v>
                </c:pt>
                <c:pt idx="128">
                  <c:v>1.7447000000000001E-2</c:v>
                </c:pt>
                <c:pt idx="129">
                  <c:v>3.0962E-2</c:v>
                </c:pt>
                <c:pt idx="130">
                  <c:v>-2.9391E-2</c:v>
                </c:pt>
                <c:pt idx="131">
                  <c:v>-2.0618999999999998E-2</c:v>
                </c:pt>
                <c:pt idx="132">
                  <c:v>-8.3520999999999998E-2</c:v>
                </c:pt>
                <c:pt idx="133">
                  <c:v>-1.5803999999999999E-2</c:v>
                </c:pt>
                <c:pt idx="134">
                  <c:v>3.4785999999999997E-2</c:v>
                </c:pt>
                <c:pt idx="135">
                  <c:v>-6.8609999999999999E-3</c:v>
                </c:pt>
                <c:pt idx="136">
                  <c:v>-1.9113999999999999E-2</c:v>
                </c:pt>
                <c:pt idx="137">
                  <c:v>4.4603999999999998E-2</c:v>
                </c:pt>
                <c:pt idx="138">
                  <c:v>3.1382E-2</c:v>
                </c:pt>
                <c:pt idx="139">
                  <c:v>-6.5250000000000004E-3</c:v>
                </c:pt>
                <c:pt idx="140">
                  <c:v>3.2680000000000001E-3</c:v>
                </c:pt>
                <c:pt idx="141">
                  <c:v>1.9387000000000001E-2</c:v>
                </c:pt>
                <c:pt idx="142">
                  <c:v>-1.2883E-2</c:v>
                </c:pt>
                <c:pt idx="143">
                  <c:v>1.1280999999999999E-2</c:v>
                </c:pt>
                <c:pt idx="144">
                  <c:v>1.9047999999999999E-2</c:v>
                </c:pt>
                <c:pt idx="145">
                  <c:v>5.8032E-2</c:v>
                </c:pt>
                <c:pt idx="146">
                  <c:v>-2.7068999999999999E-2</c:v>
                </c:pt>
                <c:pt idx="147">
                  <c:v>-1.227E-2</c:v>
                </c:pt>
                <c:pt idx="148">
                  <c:v>-2.0265999999999999E-2</c:v>
                </c:pt>
                <c:pt idx="149">
                  <c:v>-1.5873000000000002E-2</c:v>
                </c:pt>
                <c:pt idx="150">
                  <c:v>-8.0319999999999992E-3</c:v>
                </c:pt>
                <c:pt idx="151">
                  <c:v>-2.7802E-2</c:v>
                </c:pt>
                <c:pt idx="152">
                  <c:v>1.8078E-2</c:v>
                </c:pt>
                <c:pt idx="153">
                  <c:v>-3.1433999999999997E-2</c:v>
                </c:pt>
                <c:pt idx="154">
                  <c:v>-2.0374E-2</c:v>
                </c:pt>
                <c:pt idx="155">
                  <c:v>-2.2551000000000002E-2</c:v>
                </c:pt>
                <c:pt idx="156">
                  <c:v>-1.9487000000000001E-2</c:v>
                </c:pt>
                <c:pt idx="157">
                  <c:v>-3.5839999999999999E-3</c:v>
                </c:pt>
                <c:pt idx="158">
                  <c:v>-3.2849999999999997E-2</c:v>
                </c:pt>
                <c:pt idx="159">
                  <c:v>-1.8727000000000001E-2</c:v>
                </c:pt>
                <c:pt idx="160">
                  <c:v>1.5010000000000001E-2</c:v>
                </c:pt>
                <c:pt idx="161">
                  <c:v>-5.6020000000000002E-3</c:v>
                </c:pt>
                <c:pt idx="162">
                  <c:v>1.487E-2</c:v>
                </c:pt>
                <c:pt idx="163">
                  <c:v>1.2832E-2</c:v>
                </c:pt>
                <c:pt idx="164">
                  <c:v>4.4531000000000001E-2</c:v>
                </c:pt>
                <c:pt idx="165">
                  <c:v>8.6730000000000002E-3</c:v>
                </c:pt>
                <c:pt idx="166">
                  <c:v>-1.3913E-2</c:v>
                </c:pt>
                <c:pt idx="167">
                  <c:v>1.0453E-2</c:v>
                </c:pt>
                <c:pt idx="168">
                  <c:v>1.732E-3</c:v>
                </c:pt>
                <c:pt idx="169">
                  <c:v>-5.6954999999999999E-2</c:v>
                </c:pt>
                <c:pt idx="170">
                  <c:v>-2.0351999999999999E-2</c:v>
                </c:pt>
                <c:pt idx="171">
                  <c:v>-4.0043000000000002E-2</c:v>
                </c:pt>
                <c:pt idx="172">
                  <c:v>-3.1622999999999998E-2</c:v>
                </c:pt>
                <c:pt idx="173">
                  <c:v>1.1976000000000001E-2</c:v>
                </c:pt>
                <c:pt idx="174">
                  <c:v>-1.3986E-2</c:v>
                </c:pt>
                <c:pt idx="175">
                  <c:v>5.0991000000000002E-2</c:v>
                </c:pt>
                <c:pt idx="176">
                  <c:v>-1.5415E-2</c:v>
                </c:pt>
                <c:pt idx="177">
                  <c:v>3.4354999999999997E-2</c:v>
                </c:pt>
                <c:pt idx="178">
                  <c:v>-3.0478999999999999E-2</c:v>
                </c:pt>
                <c:pt idx="179">
                  <c:v>0</c:v>
                </c:pt>
                <c:pt idx="180">
                  <c:v>-2.7453000000000002E-2</c:v>
                </c:pt>
                <c:pt idx="181">
                  <c:v>-2.8228E-2</c:v>
                </c:pt>
                <c:pt idx="182">
                  <c:v>-4.6032999999999998E-2</c:v>
                </c:pt>
                <c:pt idx="183">
                  <c:v>3.9878999999999998E-2</c:v>
                </c:pt>
                <c:pt idx="184">
                  <c:v>-8.2649999999999998E-3</c:v>
                </c:pt>
                <c:pt idx="185">
                  <c:v>-3.1614999999999997E-2</c:v>
                </c:pt>
                <c:pt idx="186">
                  <c:v>1.6986000000000001E-2</c:v>
                </c:pt>
                <c:pt idx="187">
                  <c:v>1.6702000000000002E-2</c:v>
                </c:pt>
                <c:pt idx="188">
                  <c:v>-1.0406E-2</c:v>
                </c:pt>
                <c:pt idx="189">
                  <c:v>-1.9008000000000001E-2</c:v>
                </c:pt>
                <c:pt idx="190">
                  <c:v>8.1845000000000001E-2</c:v>
                </c:pt>
                <c:pt idx="191">
                  <c:v>3.9220000000000001E-3</c:v>
                </c:pt>
                <c:pt idx="192">
                  <c:v>1.9550000000000001E-3</c:v>
                </c:pt>
                <c:pt idx="193">
                  <c:v>3.8990000000000001E-3</c:v>
                </c:pt>
                <c:pt idx="194">
                  <c:v>1.944E-3</c:v>
                </c:pt>
                <c:pt idx="195">
                  <c:v>1.9231000000000002E-2</c:v>
                </c:pt>
                <c:pt idx="196">
                  <c:v>3.3710999999999998E-2</c:v>
                </c:pt>
                <c:pt idx="197">
                  <c:v>-3.6900000000000001E-3</c:v>
                </c:pt>
                <c:pt idx="198">
                  <c:v>3.8082999999999999E-2</c:v>
                </c:pt>
                <c:pt idx="199">
                  <c:v>7.0920000000000002E-3</c:v>
                </c:pt>
                <c:pt idx="200">
                  <c:v>2.4434000000000001E-2</c:v>
                </c:pt>
                <c:pt idx="201">
                  <c:v>-5.1859999999999996E-3</c:v>
                </c:pt>
                <c:pt idx="202">
                  <c:v>4.5732000000000002E-2</c:v>
                </c:pt>
                <c:pt idx="203">
                  <c:v>9.8849999999999997E-3</c:v>
                </c:pt>
                <c:pt idx="204">
                  <c:v>-6.5789999999999998E-3</c:v>
                </c:pt>
                <c:pt idx="205">
                  <c:v>-1.4963000000000001E-2</c:v>
                </c:pt>
                <c:pt idx="206">
                  <c:v>4.1022999999999997E-2</c:v>
                </c:pt>
                <c:pt idx="207">
                  <c:v>-1.6208E-2</c:v>
                </c:pt>
                <c:pt idx="208">
                  <c:v>2.1018999999999999E-2</c:v>
                </c:pt>
                <c:pt idx="209">
                  <c:v>4.7889999999999999E-3</c:v>
                </c:pt>
                <c:pt idx="210">
                  <c:v>1.4229E-2</c:v>
                </c:pt>
                <c:pt idx="211">
                  <c:v>3.3953999999999998E-2</c:v>
                </c:pt>
                <c:pt idx="212">
                  <c:v>1.3565000000000001E-2</c:v>
                </c:pt>
                <c:pt idx="213">
                  <c:v>-2.1180999999999998E-2</c:v>
                </c:pt>
                <c:pt idx="214">
                  <c:v>-1.5299999999999999E-3</c:v>
                </c:pt>
                <c:pt idx="215">
                  <c:v>3.058E-3</c:v>
                </c:pt>
                <c:pt idx="216">
                  <c:v>-2.6297000000000001E-2</c:v>
                </c:pt>
                <c:pt idx="217">
                  <c:v>7.8059999999999996E-3</c:v>
                </c:pt>
                <c:pt idx="218">
                  <c:v>-3.3204999999999998E-2</c:v>
                </c:pt>
                <c:pt idx="219">
                  <c:v>-6.4520000000000003E-3</c:v>
                </c:pt>
                <c:pt idx="220">
                  <c:v>-2.1260000000000001E-2</c:v>
                </c:pt>
                <c:pt idx="221">
                  <c:v>-2.3411999999999999E-2</c:v>
                </c:pt>
                <c:pt idx="222">
                  <c:v>-3.9695000000000001E-2</c:v>
                </c:pt>
                <c:pt idx="223">
                  <c:v>-2.3153E-2</c:v>
                </c:pt>
                <c:pt idx="224">
                  <c:v>2.1391E-2</c:v>
                </c:pt>
                <c:pt idx="225">
                  <c:v>2.4390999999999999E-2</c:v>
                </c:pt>
                <c:pt idx="226">
                  <c:v>2.2128999999999999E-2</c:v>
                </c:pt>
                <c:pt idx="227">
                  <c:v>-2.7304999999999999E-2</c:v>
                </c:pt>
                <c:pt idx="228">
                  <c:v>-6.9439999999999997E-3</c:v>
                </c:pt>
                <c:pt idx="229">
                  <c:v>2.2395000000000002E-2</c:v>
                </c:pt>
                <c:pt idx="230">
                  <c:v>-8.5540000000000008E-3</c:v>
                </c:pt>
                <c:pt idx="231">
                  <c:v>-0.108803</c:v>
                </c:pt>
                <c:pt idx="232">
                  <c:v>9.5329999999999998E-3</c:v>
                </c:pt>
                <c:pt idx="233">
                  <c:v>1.8797999999999999E-2</c:v>
                </c:pt>
                <c:pt idx="234">
                  <c:v>3.6567000000000002E-2</c:v>
                </c:pt>
                <c:pt idx="235">
                  <c:v>1.7794000000000001E-2</c:v>
                </c:pt>
                <c:pt idx="236">
                  <c:v>8.7799999999999996E-3</c:v>
                </c:pt>
                <c:pt idx="237">
                  <c:v>5.2310000000000004E-3</c:v>
                </c:pt>
                <c:pt idx="238">
                  <c:v>2.2356999999999998E-2</c:v>
                </c:pt>
                <c:pt idx="239">
                  <c:v>-2.0618999999999998E-2</c:v>
                </c:pt>
                <c:pt idx="240">
                  <c:v>8.6429999999999996E-3</c:v>
                </c:pt>
                <c:pt idx="241">
                  <c:v>3.3843999999999999E-2</c:v>
                </c:pt>
                <c:pt idx="242">
                  <c:v>4.9789999999999999E-3</c:v>
                </c:pt>
                <c:pt idx="243">
                  <c:v>-6.6449999999999999E-3</c:v>
                </c:pt>
                <c:pt idx="244">
                  <c:v>4.9880000000000002E-3</c:v>
                </c:pt>
                <c:pt idx="245">
                  <c:v>3.4233E-2</c:v>
                </c:pt>
                <c:pt idx="246">
                  <c:v>-1.2903E-2</c:v>
                </c:pt>
                <c:pt idx="247">
                  <c:v>-3.9739999999999998E-2</c:v>
                </c:pt>
                <c:pt idx="248">
                  <c:v>-1.8755999999999998E-2</c:v>
                </c:pt>
                <c:pt idx="249">
                  <c:v>-6.9080000000000001E-3</c:v>
                </c:pt>
                <c:pt idx="250">
                  <c:v>5.7700000000000001E-2</c:v>
                </c:pt>
              </c:numCache>
            </c:numRef>
          </c:val>
          <c:smooth val="0"/>
          <c:extLst>
            <c:ext xmlns:c16="http://schemas.microsoft.com/office/drawing/2014/chart" uri="{C3380CC4-5D6E-409C-BE32-E72D297353CC}">
              <c16:uniqueId val="{00000007-C12E-4974-81F6-4048F8F19A91}"/>
            </c:ext>
          </c:extLst>
        </c:ser>
        <c:ser>
          <c:idx val="8"/>
          <c:order val="8"/>
          <c:tx>
            <c:strRef>
              <c:f>Q6_ii_RawData!$J$1</c:f>
              <c:strCache>
                <c:ptCount val="1"/>
                <c:pt idx="0">
                  <c:v>SNAP</c:v>
                </c:pt>
              </c:strCache>
            </c:strRef>
          </c:tx>
          <c:spPr>
            <a:ln w="28440" cap="rnd">
              <a:solidFill>
                <a:srgbClr val="5F7530"/>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Q6_ii_RawData!$J$2:$J$252</c:f>
              <c:numCache>
                <c:formatCode>General</c:formatCode>
                <c:ptCount val="251"/>
                <c:pt idx="0">
                  <c:v>-5.8539999999999998E-3</c:v>
                </c:pt>
                <c:pt idx="1">
                  <c:v>-1.9589999999999998E-3</c:v>
                </c:pt>
                <c:pt idx="2">
                  <c:v>1.2664999999999999E-2</c:v>
                </c:pt>
                <c:pt idx="3">
                  <c:v>7.7149999999999996E-3</c:v>
                </c:pt>
                <c:pt idx="4">
                  <c:v>9.5600000000000008E-3</c:v>
                </c:pt>
                <c:pt idx="5">
                  <c:v>0</c:v>
                </c:pt>
                <c:pt idx="6">
                  <c:v>-3.092E-2</c:v>
                </c:pt>
                <c:pt idx="7">
                  <c:v>-1.4829999999999999E-2</c:v>
                </c:pt>
                <c:pt idx="8">
                  <c:v>4.9680000000000002E-3</c:v>
                </c:pt>
                <c:pt idx="9">
                  <c:v>1.3780000000000001E-2</c:v>
                </c:pt>
                <c:pt idx="10">
                  <c:v>8.7589999999999994E-3</c:v>
                </c:pt>
                <c:pt idx="11">
                  <c:v>-6.8060000000000004E-3</c:v>
                </c:pt>
                <c:pt idx="12">
                  <c:v>3.9220999999999999E-2</c:v>
                </c:pt>
                <c:pt idx="13">
                  <c:v>1.874E-3</c:v>
                </c:pt>
                <c:pt idx="14">
                  <c:v>-9.4070000000000004E-3</c:v>
                </c:pt>
                <c:pt idx="15">
                  <c:v>-3.3640999999999997E-2</c:v>
                </c:pt>
                <c:pt idx="16">
                  <c:v>3.9295999999999998E-2</c:v>
                </c:pt>
                <c:pt idx="17">
                  <c:v>1.6775999999999999E-2</c:v>
                </c:pt>
                <c:pt idx="18">
                  <c:v>3.5409999999999997E-2</c:v>
                </c:pt>
                <c:pt idx="19">
                  <c:v>2.3800000000000002E-2</c:v>
                </c:pt>
                <c:pt idx="20">
                  <c:v>1.47E-2</c:v>
                </c:pt>
                <c:pt idx="21">
                  <c:v>2.5720000000000001E-3</c:v>
                </c:pt>
                <c:pt idx="22">
                  <c:v>1.3606E-2</c:v>
                </c:pt>
                <c:pt idx="23">
                  <c:v>1.5088000000000001E-2</c:v>
                </c:pt>
                <c:pt idx="24">
                  <c:v>8.2850000000000007E-3</c:v>
                </c:pt>
                <c:pt idx="25">
                  <c:v>-1.7479000000000001E-2</c:v>
                </c:pt>
                <c:pt idx="26">
                  <c:v>-1.95E-2</c:v>
                </c:pt>
                <c:pt idx="27">
                  <c:v>8.5249999999999996E-3</c:v>
                </c:pt>
                <c:pt idx="28">
                  <c:v>7.8342999999999996E-2</c:v>
                </c:pt>
                <c:pt idx="29">
                  <c:v>4.8266999999999997E-2</c:v>
                </c:pt>
                <c:pt idx="30">
                  <c:v>1.0416999999999999E-2</c:v>
                </c:pt>
                <c:pt idx="31">
                  <c:v>-2.7008000000000001E-2</c:v>
                </c:pt>
                <c:pt idx="32">
                  <c:v>2.4042999999999998E-2</c:v>
                </c:pt>
                <c:pt idx="33">
                  <c:v>-7.4520000000000003E-3</c:v>
                </c:pt>
                <c:pt idx="34">
                  <c:v>-1.9637999999999999E-2</c:v>
                </c:pt>
                <c:pt idx="35">
                  <c:v>-1.3825E-2</c:v>
                </c:pt>
                <c:pt idx="36">
                  <c:v>-1.4803999999999999E-2</c:v>
                </c:pt>
                <c:pt idx="37">
                  <c:v>-4.7210000000000004E-3</c:v>
                </c:pt>
                <c:pt idx="38">
                  <c:v>-1.3498E-2</c:v>
                </c:pt>
                <c:pt idx="39">
                  <c:v>-0.15348500000000001</c:v>
                </c:pt>
                <c:pt idx="40">
                  <c:v>-3.7990999999999997E-2</c:v>
                </c:pt>
                <c:pt idx="41">
                  <c:v>3.3321000000000003E-2</c:v>
                </c:pt>
                <c:pt idx="42">
                  <c:v>6.1726000000000003E-2</c:v>
                </c:pt>
                <c:pt idx="43">
                  <c:v>-7.0670000000000004E-3</c:v>
                </c:pt>
                <c:pt idx="44">
                  <c:v>-2.7866999999999999E-2</c:v>
                </c:pt>
                <c:pt idx="45">
                  <c:v>-1.6544E-2</c:v>
                </c:pt>
                <c:pt idx="46">
                  <c:v>-3.7139999999999999E-3</c:v>
                </c:pt>
                <c:pt idx="47">
                  <c:v>-1.6886000000000002E-2</c:v>
                </c:pt>
                <c:pt idx="48">
                  <c:v>-2.8419999999999999E-3</c:v>
                </c:pt>
                <c:pt idx="49">
                  <c:v>-9.5329999999999998E-3</c:v>
                </c:pt>
                <c:pt idx="50">
                  <c:v>-2.1298000000000001E-2</c:v>
                </c:pt>
                <c:pt idx="51">
                  <c:v>-1.8766000000000001E-2</c:v>
                </c:pt>
                <c:pt idx="52">
                  <c:v>-9.0139999999999994E-3</c:v>
                </c:pt>
                <c:pt idx="53">
                  <c:v>-3.8979E-2</c:v>
                </c:pt>
                <c:pt idx="54">
                  <c:v>-4.2742000000000002E-2</c:v>
                </c:pt>
                <c:pt idx="55">
                  <c:v>-1.3187000000000001E-2</c:v>
                </c:pt>
                <c:pt idx="56">
                  <c:v>1.5368E-2</c:v>
                </c:pt>
                <c:pt idx="57">
                  <c:v>1.9418000000000001E-2</c:v>
                </c:pt>
                <c:pt idx="58">
                  <c:v>-1.1821999999999999E-2</c:v>
                </c:pt>
                <c:pt idx="59">
                  <c:v>-1.0820000000000001E-3</c:v>
                </c:pt>
                <c:pt idx="60">
                  <c:v>1.3971000000000001E-2</c:v>
                </c:pt>
                <c:pt idx="61">
                  <c:v>-1.289E-2</c:v>
                </c:pt>
                <c:pt idx="62">
                  <c:v>2.1391E-2</c:v>
                </c:pt>
                <c:pt idx="63">
                  <c:v>4.5509000000000001E-2</c:v>
                </c:pt>
                <c:pt idx="64">
                  <c:v>2.299E-2</c:v>
                </c:pt>
                <c:pt idx="65">
                  <c:v>2.2473E-2</c:v>
                </c:pt>
                <c:pt idx="66">
                  <c:v>8.6580000000000008E-3</c:v>
                </c:pt>
                <c:pt idx="67">
                  <c:v>1.9139999999999999E-3</c:v>
                </c:pt>
                <c:pt idx="68">
                  <c:v>-8.2674999999999998E-2</c:v>
                </c:pt>
                <c:pt idx="69">
                  <c:v>9.3019999999999995E-3</c:v>
                </c:pt>
                <c:pt idx="70">
                  <c:v>-3.4540000000000001E-2</c:v>
                </c:pt>
                <c:pt idx="71">
                  <c:v>5.3109999999999997E-3</c:v>
                </c:pt>
                <c:pt idx="72">
                  <c:v>1.4722000000000001E-2</c:v>
                </c:pt>
                <c:pt idx="73">
                  <c:v>-3.0738999999999999E-2</c:v>
                </c:pt>
                <c:pt idx="74">
                  <c:v>-1.4092E-2</c:v>
                </c:pt>
                <c:pt idx="75">
                  <c:v>0</c:v>
                </c:pt>
                <c:pt idx="76">
                  <c:v>-2.9919000000000001E-2</c:v>
                </c:pt>
                <c:pt idx="77">
                  <c:v>1.2298E-2</c:v>
                </c:pt>
                <c:pt idx="78">
                  <c:v>3.3279999999999998E-3</c:v>
                </c:pt>
                <c:pt idx="79">
                  <c:v>-4.5308000000000001E-2</c:v>
                </c:pt>
                <c:pt idx="80">
                  <c:v>6.9280000000000001E-3</c:v>
                </c:pt>
                <c:pt idx="81">
                  <c:v>-1.0411E-2</c:v>
                </c:pt>
                <c:pt idx="82">
                  <c:v>-3.0699000000000001E-2</c:v>
                </c:pt>
                <c:pt idx="83">
                  <c:v>1.7826000000000002E-2</c:v>
                </c:pt>
                <c:pt idx="84">
                  <c:v>8.2109999999999995E-3</c:v>
                </c:pt>
                <c:pt idx="85">
                  <c:v>4.0073999999999999E-2</c:v>
                </c:pt>
                <c:pt idx="86">
                  <c:v>-1.9264E-2</c:v>
                </c:pt>
                <c:pt idx="87">
                  <c:v>-2.3148999999999999E-2</c:v>
                </c:pt>
                <c:pt idx="88">
                  <c:v>1.7412E-2</c:v>
                </c:pt>
                <c:pt idx="89">
                  <c:v>5.7369999999999999E-3</c:v>
                </c:pt>
                <c:pt idx="90">
                  <c:v>-1.2666E-2</c:v>
                </c:pt>
                <c:pt idx="91">
                  <c:v>-2.32E-3</c:v>
                </c:pt>
                <c:pt idx="92">
                  <c:v>2.4098000000000001E-2</c:v>
                </c:pt>
                <c:pt idx="93">
                  <c:v>3.2350999999999998E-2</c:v>
                </c:pt>
                <c:pt idx="94">
                  <c:v>0</c:v>
                </c:pt>
                <c:pt idx="95">
                  <c:v>-4.8350999999999998E-2</c:v>
                </c:pt>
                <c:pt idx="96">
                  <c:v>0.113164</c:v>
                </c:pt>
                <c:pt idx="97">
                  <c:v>-3.091E-3</c:v>
                </c:pt>
                <c:pt idx="98">
                  <c:v>-9.3310000000000008E-3</c:v>
                </c:pt>
                <c:pt idx="99">
                  <c:v>5.195E-3</c:v>
                </c:pt>
                <c:pt idx="100">
                  <c:v>-2.2002000000000001E-2</c:v>
                </c:pt>
                <c:pt idx="101">
                  <c:v>5.2830000000000004E-3</c:v>
                </c:pt>
                <c:pt idx="102">
                  <c:v>2.2918000000000001E-2</c:v>
                </c:pt>
                <c:pt idx="103">
                  <c:v>-5.5039999999999999E-2</c:v>
                </c:pt>
                <c:pt idx="104">
                  <c:v>1.1898000000000001E-2</c:v>
                </c:pt>
                <c:pt idx="105">
                  <c:v>0</c:v>
                </c:pt>
                <c:pt idx="106">
                  <c:v>4.2111000000000003E-2</c:v>
                </c:pt>
                <c:pt idx="107">
                  <c:v>3.1459000000000001E-2</c:v>
                </c:pt>
                <c:pt idx="108">
                  <c:v>-2E-3</c:v>
                </c:pt>
                <c:pt idx="109">
                  <c:v>4.3102000000000001E-2</c:v>
                </c:pt>
                <c:pt idx="110">
                  <c:v>2.7425000000000001E-2</c:v>
                </c:pt>
                <c:pt idx="111">
                  <c:v>9.3199999999999999E-4</c:v>
                </c:pt>
                <c:pt idx="112">
                  <c:v>2.1208999999999999E-2</c:v>
                </c:pt>
                <c:pt idx="113">
                  <c:v>2.4336E-2</c:v>
                </c:pt>
                <c:pt idx="114">
                  <c:v>8.8999999999999995E-4</c:v>
                </c:pt>
                <c:pt idx="115">
                  <c:v>7.0920000000000002E-3</c:v>
                </c:pt>
                <c:pt idx="116">
                  <c:v>-1.768E-3</c:v>
                </c:pt>
                <c:pt idx="117">
                  <c:v>7.2525999999999993E-2</c:v>
                </c:pt>
                <c:pt idx="118">
                  <c:v>4.1070000000000004E-3</c:v>
                </c:pt>
                <c:pt idx="119">
                  <c:v>-1.0713E-2</c:v>
                </c:pt>
                <c:pt idx="120">
                  <c:v>-1.5025E-2</c:v>
                </c:pt>
                <c:pt idx="121">
                  <c:v>2.1631000000000001E-2</c:v>
                </c:pt>
                <c:pt idx="122">
                  <c:v>-7.4349999999999998E-3</c:v>
                </c:pt>
                <c:pt idx="123">
                  <c:v>2.0518000000000002E-2</c:v>
                </c:pt>
                <c:pt idx="124">
                  <c:v>1.6914999999999999E-2</c:v>
                </c:pt>
                <c:pt idx="125">
                  <c:v>1.2699E-2</c:v>
                </c:pt>
                <c:pt idx="126">
                  <c:v>1.2539E-2</c:v>
                </c:pt>
                <c:pt idx="127">
                  <c:v>1.0843999999999999E-2</c:v>
                </c:pt>
                <c:pt idx="128">
                  <c:v>6.343E-2</c:v>
                </c:pt>
                <c:pt idx="129">
                  <c:v>2.2168E-2</c:v>
                </c:pt>
                <c:pt idx="130">
                  <c:v>1.1252E-2</c:v>
                </c:pt>
                <c:pt idx="131">
                  <c:v>2.0761999999999999E-2</c:v>
                </c:pt>
                <c:pt idx="132">
                  <c:v>1.1577E-2</c:v>
                </c:pt>
                <c:pt idx="133">
                  <c:v>-6.7699999999999998E-4</c:v>
                </c:pt>
                <c:pt idx="134">
                  <c:v>2.2110999999999999E-2</c:v>
                </c:pt>
                <c:pt idx="135">
                  <c:v>4.2807999999999999E-2</c:v>
                </c:pt>
                <c:pt idx="136">
                  <c:v>6.3290000000000004E-3</c:v>
                </c:pt>
                <c:pt idx="137">
                  <c:v>3.7156000000000002E-2</c:v>
                </c:pt>
                <c:pt idx="138">
                  <c:v>2.9352E-2</c:v>
                </c:pt>
                <c:pt idx="139">
                  <c:v>-1.181E-3</c:v>
                </c:pt>
                <c:pt idx="140">
                  <c:v>5.8929999999999998E-3</c:v>
                </c:pt>
                <c:pt idx="141">
                  <c:v>9.3570000000000007E-3</c:v>
                </c:pt>
                <c:pt idx="142">
                  <c:v>-3.4342999999999999E-2</c:v>
                </c:pt>
                <c:pt idx="143">
                  <c:v>3.7248999999999997E-2</c:v>
                </c:pt>
                <c:pt idx="144">
                  <c:v>-1.0501999999999999E-2</c:v>
                </c:pt>
                <c:pt idx="145">
                  <c:v>-1.5963000000000001E-2</c:v>
                </c:pt>
                <c:pt idx="146">
                  <c:v>1.008E-2</c:v>
                </c:pt>
                <c:pt idx="147">
                  <c:v>5.8820000000000001E-3</c:v>
                </c:pt>
                <c:pt idx="148">
                  <c:v>-7.0629999999999998E-3</c:v>
                </c:pt>
                <c:pt idx="149">
                  <c:v>-4.7787000000000003E-2</c:v>
                </c:pt>
                <c:pt idx="150">
                  <c:v>-2.2557000000000001E-2</c:v>
                </c:pt>
                <c:pt idx="151">
                  <c:v>2.6268E-2</c:v>
                </c:pt>
                <c:pt idx="152">
                  <c:v>2.1375000000000002E-2</c:v>
                </c:pt>
                <c:pt idx="153">
                  <c:v>4.4898E-2</c:v>
                </c:pt>
                <c:pt idx="154">
                  <c:v>-1.5134E-2</c:v>
                </c:pt>
                <c:pt idx="155">
                  <c:v>1.8593999999999999E-2</c:v>
                </c:pt>
                <c:pt idx="156">
                  <c:v>-1.6251000000000002E-2</c:v>
                </c:pt>
                <c:pt idx="157">
                  <c:v>-3.9385000000000003E-2</c:v>
                </c:pt>
                <c:pt idx="158">
                  <c:v>-5.5691999999999998E-2</c:v>
                </c:pt>
                <c:pt idx="159">
                  <c:v>-2.5769999999999999E-3</c:v>
                </c:pt>
                <c:pt idx="160">
                  <c:v>4.4788000000000001E-2</c:v>
                </c:pt>
                <c:pt idx="161">
                  <c:v>1.2872E-2</c:v>
                </c:pt>
                <c:pt idx="162">
                  <c:v>1.1505E-2</c:v>
                </c:pt>
                <c:pt idx="163">
                  <c:v>-1.7000999999999999E-2</c:v>
                </c:pt>
                <c:pt idx="164">
                  <c:v>-6.1300000000000005E-4</c:v>
                </c:pt>
                <c:pt idx="165">
                  <c:v>-1.8400000000000001E-3</c:v>
                </c:pt>
                <c:pt idx="166">
                  <c:v>-2.4589999999999998E-3</c:v>
                </c:pt>
                <c:pt idx="167">
                  <c:v>3.8628999999999997E-2</c:v>
                </c:pt>
                <c:pt idx="168">
                  <c:v>-2.5180999999999999E-2</c:v>
                </c:pt>
                <c:pt idx="169">
                  <c:v>-3.5851000000000001E-2</c:v>
                </c:pt>
                <c:pt idx="170">
                  <c:v>-1.2589999999999999E-3</c:v>
                </c:pt>
                <c:pt idx="171">
                  <c:v>7.1720000000000006E-2</c:v>
                </c:pt>
                <c:pt idx="172">
                  <c:v>-1.7752E-2</c:v>
                </c:pt>
                <c:pt idx="173">
                  <c:v>4.0940999999999998E-2</c:v>
                </c:pt>
                <c:pt idx="174">
                  <c:v>-0.42484899999999998</c:v>
                </c:pt>
                <c:pt idx="175">
                  <c:v>-2.7545E-2</c:v>
                </c:pt>
                <c:pt idx="176">
                  <c:v>8.9999999999999998E-4</c:v>
                </c:pt>
                <c:pt idx="177">
                  <c:v>4.6601999999999998E-2</c:v>
                </c:pt>
                <c:pt idx="178">
                  <c:v>-4.3905E-2</c:v>
                </c:pt>
                <c:pt idx="179">
                  <c:v>2.3071000000000001E-2</c:v>
                </c:pt>
                <c:pt idx="180">
                  <c:v>1.7392000000000001E-2</c:v>
                </c:pt>
                <c:pt idx="181">
                  <c:v>-3.7773000000000001E-2</c:v>
                </c:pt>
                <c:pt idx="182">
                  <c:v>-1.9892E-2</c:v>
                </c:pt>
                <c:pt idx="183">
                  <c:v>-1.9363999999999999E-2</c:v>
                </c:pt>
                <c:pt idx="184">
                  <c:v>-9.3199999999999999E-4</c:v>
                </c:pt>
                <c:pt idx="185">
                  <c:v>6.5030000000000001E-3</c:v>
                </c:pt>
                <c:pt idx="186">
                  <c:v>-7.4349999999999998E-3</c:v>
                </c:pt>
                <c:pt idx="187">
                  <c:v>1.6652E-2</c:v>
                </c:pt>
                <c:pt idx="188">
                  <c:v>9.1319999999999995E-3</c:v>
                </c:pt>
                <c:pt idx="189">
                  <c:v>1.817E-3</c:v>
                </c:pt>
                <c:pt idx="190">
                  <c:v>2.0656000000000001E-2</c:v>
                </c:pt>
                <c:pt idx="191">
                  <c:v>-1.9748999999999999E-2</c:v>
                </c:pt>
                <c:pt idx="192">
                  <c:v>3.5623000000000002E-2</c:v>
                </c:pt>
                <c:pt idx="193">
                  <c:v>-2.3906E-2</c:v>
                </c:pt>
                <c:pt idx="194">
                  <c:v>5.9991999999999997E-2</c:v>
                </c:pt>
                <c:pt idx="195">
                  <c:v>4.4561999999999997E-2</c:v>
                </c:pt>
                <c:pt idx="196">
                  <c:v>-4.2875000000000003E-2</c:v>
                </c:pt>
                <c:pt idx="197">
                  <c:v>-8.4600000000000005E-3</c:v>
                </c:pt>
                <c:pt idx="198">
                  <c:v>1.0984000000000001E-2</c:v>
                </c:pt>
                <c:pt idx="199">
                  <c:v>-4.3803000000000002E-2</c:v>
                </c:pt>
                <c:pt idx="200">
                  <c:v>-1.7715000000000002E-2</c:v>
                </c:pt>
                <c:pt idx="201">
                  <c:v>-1.1686E-2</c:v>
                </c:pt>
                <c:pt idx="202">
                  <c:v>-9.0499999999999999E-4</c:v>
                </c:pt>
                <c:pt idx="203">
                  <c:v>1.3483E-2</c:v>
                </c:pt>
                <c:pt idx="204">
                  <c:v>-3.578E-3</c:v>
                </c:pt>
                <c:pt idx="205">
                  <c:v>2.1277000000000001E-2</c:v>
                </c:pt>
                <c:pt idx="206">
                  <c:v>-1.2357E-2</c:v>
                </c:pt>
                <c:pt idx="207">
                  <c:v>4.431E-3</c:v>
                </c:pt>
                <c:pt idx="208">
                  <c:v>1.2302E-2</c:v>
                </c:pt>
                <c:pt idx="209">
                  <c:v>2.617E-3</c:v>
                </c:pt>
                <c:pt idx="210">
                  <c:v>-2.0237999999999999E-2</c:v>
                </c:pt>
                <c:pt idx="211">
                  <c:v>-1.5226E-2</c:v>
                </c:pt>
                <c:pt idx="212">
                  <c:v>6.2979999999999998E-3</c:v>
                </c:pt>
                <c:pt idx="213">
                  <c:v>-1.1728000000000001E-2</c:v>
                </c:pt>
                <c:pt idx="214">
                  <c:v>-1.817E-3</c:v>
                </c:pt>
                <c:pt idx="215">
                  <c:v>9.9500000000000005E-3</c:v>
                </c:pt>
                <c:pt idx="216">
                  <c:v>1.0743000000000001E-2</c:v>
                </c:pt>
                <c:pt idx="217">
                  <c:v>-3.1662999999999997E-2</c:v>
                </c:pt>
                <c:pt idx="218">
                  <c:v>4.3172000000000002E-2</c:v>
                </c:pt>
                <c:pt idx="219">
                  <c:v>-4.5933000000000002E-2</c:v>
                </c:pt>
                <c:pt idx="220">
                  <c:v>-4.8145E-2</c:v>
                </c:pt>
                <c:pt idx="221">
                  <c:v>6.7470000000000004E-3</c:v>
                </c:pt>
                <c:pt idx="222">
                  <c:v>4.5996000000000002E-2</c:v>
                </c:pt>
                <c:pt idx="223">
                  <c:v>6.4824999999999994E-2</c:v>
                </c:pt>
                <c:pt idx="224">
                  <c:v>-4.1251999999999997E-2</c:v>
                </c:pt>
                <c:pt idx="225">
                  <c:v>-1.794E-3</c:v>
                </c:pt>
                <c:pt idx="226">
                  <c:v>2.2193999999999998E-2</c:v>
                </c:pt>
                <c:pt idx="227">
                  <c:v>-2.7594E-2</c:v>
                </c:pt>
                <c:pt idx="228">
                  <c:v>2.8472000000000001E-2</c:v>
                </c:pt>
                <c:pt idx="229">
                  <c:v>0.243978</c:v>
                </c:pt>
                <c:pt idx="230">
                  <c:v>-4.1320000000000003E-3</c:v>
                </c:pt>
                <c:pt idx="231">
                  <c:v>3.7919000000000001E-2</c:v>
                </c:pt>
                <c:pt idx="232">
                  <c:v>5.2422000000000003E-2</c:v>
                </c:pt>
                <c:pt idx="233">
                  <c:v>2.7365E-2</c:v>
                </c:pt>
                <c:pt idx="234">
                  <c:v>-3.0720000000000001E-3</c:v>
                </c:pt>
                <c:pt idx="235">
                  <c:v>3.5664000000000001E-2</c:v>
                </c:pt>
                <c:pt idx="236">
                  <c:v>1.7658E-2</c:v>
                </c:pt>
                <c:pt idx="237">
                  <c:v>-2.3614E-2</c:v>
                </c:pt>
                <c:pt idx="238">
                  <c:v>-1.1415E-2</c:v>
                </c:pt>
                <c:pt idx="239">
                  <c:v>-3.3173000000000001E-2</c:v>
                </c:pt>
                <c:pt idx="240">
                  <c:v>-1.5737999999999999E-2</c:v>
                </c:pt>
                <c:pt idx="241">
                  <c:v>-8.9230000000000004E-3</c:v>
                </c:pt>
                <c:pt idx="242">
                  <c:v>3.7075999999999998E-2</c:v>
                </c:pt>
                <c:pt idx="243">
                  <c:v>-1.179E-2</c:v>
                </c:pt>
                <c:pt idx="244">
                  <c:v>1.8710000000000001E-3</c:v>
                </c:pt>
                <c:pt idx="245">
                  <c:v>2.3400000000000001E-2</c:v>
                </c:pt>
                <c:pt idx="246">
                  <c:v>-4.9917000000000003E-2</c:v>
                </c:pt>
                <c:pt idx="247">
                  <c:v>1.7756000000000001E-2</c:v>
                </c:pt>
                <c:pt idx="248">
                  <c:v>-4.6968999999999997E-2</c:v>
                </c:pt>
                <c:pt idx="249">
                  <c:v>2.6319999999999998E-3</c:v>
                </c:pt>
                <c:pt idx="250">
                  <c:v>0.1522</c:v>
                </c:pt>
              </c:numCache>
            </c:numRef>
          </c:val>
          <c:smooth val="0"/>
          <c:extLst>
            <c:ext xmlns:c16="http://schemas.microsoft.com/office/drawing/2014/chart" uri="{C3380CC4-5D6E-409C-BE32-E72D297353CC}">
              <c16:uniqueId val="{00000008-C12E-4974-81F6-4048F8F19A91}"/>
            </c:ext>
          </c:extLst>
        </c:ser>
        <c:ser>
          <c:idx val="9"/>
          <c:order val="9"/>
          <c:tx>
            <c:strRef>
              <c:f>Q6_ii_RawData!$K$1</c:f>
              <c:strCache>
                <c:ptCount val="1"/>
                <c:pt idx="0">
                  <c:v>U</c:v>
                </c:pt>
              </c:strCache>
            </c:strRef>
          </c:tx>
          <c:spPr>
            <a:ln w="28440" cap="rnd">
              <a:solidFill>
                <a:srgbClr val="4D3B62"/>
              </a:solidFill>
              <a:round/>
            </a:ln>
          </c:spPr>
          <c:marker>
            <c:symbol val="none"/>
          </c:marker>
          <c:dLbls>
            <c:spPr>
              <a:noFill/>
              <a:ln>
                <a:noFill/>
              </a:ln>
              <a:effectLst/>
            </c:spPr>
            <c:txPr>
              <a:bodyPr wrap="square"/>
              <a:lstStyle/>
              <a:p>
                <a:pPr>
                  <a:defRPr sz="1000" b="0" strike="noStrike" spc="-1">
                    <a:solidFill>
                      <a:srgbClr val="000000"/>
                    </a:solidFill>
                    <a:latin typeface="Calibri"/>
                    <a:ea typeface="Calibri"/>
                  </a:defRPr>
                </a:pPr>
                <a:endParaRPr lang="en-NO"/>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Q6_ii_RawData!$A$2:$A$252</c:f>
              <c:numCache>
                <c:formatCode>[$-409]d\-mmm\-yy;@</c:formatCode>
                <c:ptCount val="251"/>
                <c:pt idx="0">
                  <c:v>45072</c:v>
                </c:pt>
                <c:pt idx="1">
                  <c:v>45076</c:v>
                </c:pt>
                <c:pt idx="2">
                  <c:v>45077</c:v>
                </c:pt>
                <c:pt idx="3">
                  <c:v>45078</c:v>
                </c:pt>
                <c:pt idx="4">
                  <c:v>45079</c:v>
                </c:pt>
                <c:pt idx="5">
                  <c:v>45082</c:v>
                </c:pt>
                <c:pt idx="6">
                  <c:v>45083</c:v>
                </c:pt>
                <c:pt idx="7">
                  <c:v>45084</c:v>
                </c:pt>
                <c:pt idx="8">
                  <c:v>45085</c:v>
                </c:pt>
                <c:pt idx="9">
                  <c:v>45086</c:v>
                </c:pt>
                <c:pt idx="10">
                  <c:v>45089</c:v>
                </c:pt>
                <c:pt idx="11">
                  <c:v>45090</c:v>
                </c:pt>
                <c:pt idx="12">
                  <c:v>45091</c:v>
                </c:pt>
                <c:pt idx="13">
                  <c:v>45092</c:v>
                </c:pt>
                <c:pt idx="14">
                  <c:v>45093</c:v>
                </c:pt>
                <c:pt idx="15">
                  <c:v>45097</c:v>
                </c:pt>
                <c:pt idx="16">
                  <c:v>45098</c:v>
                </c:pt>
                <c:pt idx="17">
                  <c:v>45099</c:v>
                </c:pt>
                <c:pt idx="18">
                  <c:v>45100</c:v>
                </c:pt>
                <c:pt idx="19">
                  <c:v>45103</c:v>
                </c:pt>
                <c:pt idx="20">
                  <c:v>45104</c:v>
                </c:pt>
                <c:pt idx="21">
                  <c:v>45105</c:v>
                </c:pt>
                <c:pt idx="22">
                  <c:v>45106</c:v>
                </c:pt>
                <c:pt idx="23">
                  <c:v>45107</c:v>
                </c:pt>
                <c:pt idx="24">
                  <c:v>45110</c:v>
                </c:pt>
                <c:pt idx="25">
                  <c:v>45112</c:v>
                </c:pt>
                <c:pt idx="26">
                  <c:v>45113</c:v>
                </c:pt>
                <c:pt idx="27">
                  <c:v>45114</c:v>
                </c:pt>
                <c:pt idx="28">
                  <c:v>45117</c:v>
                </c:pt>
                <c:pt idx="29">
                  <c:v>45118</c:v>
                </c:pt>
                <c:pt idx="30">
                  <c:v>45119</c:v>
                </c:pt>
                <c:pt idx="31">
                  <c:v>45120</c:v>
                </c:pt>
                <c:pt idx="32">
                  <c:v>45121</c:v>
                </c:pt>
                <c:pt idx="33">
                  <c:v>45124</c:v>
                </c:pt>
                <c:pt idx="34">
                  <c:v>45125</c:v>
                </c:pt>
                <c:pt idx="35">
                  <c:v>45126</c:v>
                </c:pt>
                <c:pt idx="36">
                  <c:v>45127</c:v>
                </c:pt>
                <c:pt idx="37">
                  <c:v>45128</c:v>
                </c:pt>
                <c:pt idx="38">
                  <c:v>45131</c:v>
                </c:pt>
                <c:pt idx="39">
                  <c:v>45132</c:v>
                </c:pt>
                <c:pt idx="40">
                  <c:v>45133</c:v>
                </c:pt>
                <c:pt idx="41">
                  <c:v>45134</c:v>
                </c:pt>
                <c:pt idx="42">
                  <c:v>45135</c:v>
                </c:pt>
                <c:pt idx="43">
                  <c:v>45138</c:v>
                </c:pt>
                <c:pt idx="44">
                  <c:v>45139</c:v>
                </c:pt>
                <c:pt idx="45">
                  <c:v>45140</c:v>
                </c:pt>
                <c:pt idx="46">
                  <c:v>45141</c:v>
                </c:pt>
                <c:pt idx="47">
                  <c:v>45142</c:v>
                </c:pt>
                <c:pt idx="48">
                  <c:v>45145</c:v>
                </c:pt>
                <c:pt idx="49">
                  <c:v>45146</c:v>
                </c:pt>
                <c:pt idx="50">
                  <c:v>45147</c:v>
                </c:pt>
                <c:pt idx="51">
                  <c:v>45148</c:v>
                </c:pt>
                <c:pt idx="52">
                  <c:v>45149</c:v>
                </c:pt>
                <c:pt idx="53">
                  <c:v>45152</c:v>
                </c:pt>
                <c:pt idx="54">
                  <c:v>45153</c:v>
                </c:pt>
                <c:pt idx="55">
                  <c:v>45154</c:v>
                </c:pt>
                <c:pt idx="56">
                  <c:v>45155</c:v>
                </c:pt>
                <c:pt idx="57">
                  <c:v>45156</c:v>
                </c:pt>
                <c:pt idx="58">
                  <c:v>45159</c:v>
                </c:pt>
                <c:pt idx="59">
                  <c:v>45160</c:v>
                </c:pt>
                <c:pt idx="60">
                  <c:v>45161</c:v>
                </c:pt>
                <c:pt idx="61">
                  <c:v>45162</c:v>
                </c:pt>
                <c:pt idx="62">
                  <c:v>45163</c:v>
                </c:pt>
                <c:pt idx="63">
                  <c:v>45166</c:v>
                </c:pt>
                <c:pt idx="64">
                  <c:v>45167</c:v>
                </c:pt>
                <c:pt idx="65">
                  <c:v>45168</c:v>
                </c:pt>
                <c:pt idx="66">
                  <c:v>45169</c:v>
                </c:pt>
                <c:pt idx="67">
                  <c:v>45170</c:v>
                </c:pt>
                <c:pt idx="68">
                  <c:v>45174</c:v>
                </c:pt>
                <c:pt idx="69">
                  <c:v>45175</c:v>
                </c:pt>
                <c:pt idx="70">
                  <c:v>45176</c:v>
                </c:pt>
                <c:pt idx="71">
                  <c:v>45177</c:v>
                </c:pt>
                <c:pt idx="72">
                  <c:v>45180</c:v>
                </c:pt>
                <c:pt idx="73">
                  <c:v>45181</c:v>
                </c:pt>
                <c:pt idx="74">
                  <c:v>45182</c:v>
                </c:pt>
                <c:pt idx="75">
                  <c:v>45183</c:v>
                </c:pt>
                <c:pt idx="76">
                  <c:v>45184</c:v>
                </c:pt>
                <c:pt idx="77">
                  <c:v>45187</c:v>
                </c:pt>
                <c:pt idx="78">
                  <c:v>45188</c:v>
                </c:pt>
                <c:pt idx="79">
                  <c:v>45189</c:v>
                </c:pt>
                <c:pt idx="80">
                  <c:v>45190</c:v>
                </c:pt>
                <c:pt idx="81">
                  <c:v>45191</c:v>
                </c:pt>
                <c:pt idx="82">
                  <c:v>45194</c:v>
                </c:pt>
                <c:pt idx="83">
                  <c:v>45195</c:v>
                </c:pt>
                <c:pt idx="84">
                  <c:v>45196</c:v>
                </c:pt>
                <c:pt idx="85">
                  <c:v>45197</c:v>
                </c:pt>
                <c:pt idx="86">
                  <c:v>45198</c:v>
                </c:pt>
                <c:pt idx="87">
                  <c:v>45201</c:v>
                </c:pt>
                <c:pt idx="88">
                  <c:v>45202</c:v>
                </c:pt>
                <c:pt idx="89">
                  <c:v>45203</c:v>
                </c:pt>
                <c:pt idx="90">
                  <c:v>45204</c:v>
                </c:pt>
                <c:pt idx="91">
                  <c:v>45205</c:v>
                </c:pt>
                <c:pt idx="92">
                  <c:v>45208</c:v>
                </c:pt>
                <c:pt idx="93">
                  <c:v>45209</c:v>
                </c:pt>
                <c:pt idx="94">
                  <c:v>45210</c:v>
                </c:pt>
                <c:pt idx="95">
                  <c:v>45211</c:v>
                </c:pt>
                <c:pt idx="96">
                  <c:v>45212</c:v>
                </c:pt>
                <c:pt idx="97">
                  <c:v>45215</c:v>
                </c:pt>
                <c:pt idx="98">
                  <c:v>45216</c:v>
                </c:pt>
                <c:pt idx="99">
                  <c:v>45217</c:v>
                </c:pt>
                <c:pt idx="100">
                  <c:v>45218</c:v>
                </c:pt>
                <c:pt idx="101">
                  <c:v>45219</c:v>
                </c:pt>
                <c:pt idx="102">
                  <c:v>45222</c:v>
                </c:pt>
                <c:pt idx="103">
                  <c:v>45223</c:v>
                </c:pt>
                <c:pt idx="104">
                  <c:v>45224</c:v>
                </c:pt>
                <c:pt idx="105">
                  <c:v>45225</c:v>
                </c:pt>
                <c:pt idx="106">
                  <c:v>45226</c:v>
                </c:pt>
                <c:pt idx="107">
                  <c:v>45229</c:v>
                </c:pt>
                <c:pt idx="108">
                  <c:v>45230</c:v>
                </c:pt>
                <c:pt idx="109">
                  <c:v>45231</c:v>
                </c:pt>
                <c:pt idx="110">
                  <c:v>45232</c:v>
                </c:pt>
                <c:pt idx="111">
                  <c:v>45233</c:v>
                </c:pt>
                <c:pt idx="112">
                  <c:v>45236</c:v>
                </c:pt>
                <c:pt idx="113">
                  <c:v>45237</c:v>
                </c:pt>
                <c:pt idx="114">
                  <c:v>45238</c:v>
                </c:pt>
                <c:pt idx="115">
                  <c:v>45239</c:v>
                </c:pt>
                <c:pt idx="116">
                  <c:v>45240</c:v>
                </c:pt>
                <c:pt idx="117">
                  <c:v>45243</c:v>
                </c:pt>
                <c:pt idx="118">
                  <c:v>45244</c:v>
                </c:pt>
                <c:pt idx="119">
                  <c:v>45245</c:v>
                </c:pt>
                <c:pt idx="120">
                  <c:v>45246</c:v>
                </c:pt>
                <c:pt idx="121">
                  <c:v>45247</c:v>
                </c:pt>
                <c:pt idx="122">
                  <c:v>45250</c:v>
                </c:pt>
                <c:pt idx="123">
                  <c:v>45251</c:v>
                </c:pt>
                <c:pt idx="124">
                  <c:v>45252</c:v>
                </c:pt>
                <c:pt idx="125">
                  <c:v>45254</c:v>
                </c:pt>
                <c:pt idx="126">
                  <c:v>45257</c:v>
                </c:pt>
                <c:pt idx="127">
                  <c:v>45258</c:v>
                </c:pt>
                <c:pt idx="128">
                  <c:v>45259</c:v>
                </c:pt>
                <c:pt idx="129">
                  <c:v>45260</c:v>
                </c:pt>
                <c:pt idx="130">
                  <c:v>45261</c:v>
                </c:pt>
                <c:pt idx="131">
                  <c:v>45264</c:v>
                </c:pt>
                <c:pt idx="132">
                  <c:v>45265</c:v>
                </c:pt>
                <c:pt idx="133">
                  <c:v>45266</c:v>
                </c:pt>
                <c:pt idx="134">
                  <c:v>45267</c:v>
                </c:pt>
                <c:pt idx="135">
                  <c:v>45268</c:v>
                </c:pt>
                <c:pt idx="136">
                  <c:v>45271</c:v>
                </c:pt>
                <c:pt idx="137">
                  <c:v>45272</c:v>
                </c:pt>
                <c:pt idx="138">
                  <c:v>45273</c:v>
                </c:pt>
                <c:pt idx="139">
                  <c:v>45274</c:v>
                </c:pt>
                <c:pt idx="140">
                  <c:v>45275</c:v>
                </c:pt>
                <c:pt idx="141">
                  <c:v>45278</c:v>
                </c:pt>
                <c:pt idx="142">
                  <c:v>45279</c:v>
                </c:pt>
                <c:pt idx="143">
                  <c:v>45280</c:v>
                </c:pt>
                <c:pt idx="144">
                  <c:v>45281</c:v>
                </c:pt>
                <c:pt idx="145">
                  <c:v>45282</c:v>
                </c:pt>
                <c:pt idx="146">
                  <c:v>45286</c:v>
                </c:pt>
                <c:pt idx="147">
                  <c:v>45287</c:v>
                </c:pt>
                <c:pt idx="148">
                  <c:v>45288</c:v>
                </c:pt>
                <c:pt idx="149">
                  <c:v>45289</c:v>
                </c:pt>
                <c:pt idx="150">
                  <c:v>45293</c:v>
                </c:pt>
                <c:pt idx="151">
                  <c:v>45294</c:v>
                </c:pt>
                <c:pt idx="152">
                  <c:v>45295</c:v>
                </c:pt>
                <c:pt idx="153">
                  <c:v>45296</c:v>
                </c:pt>
                <c:pt idx="154">
                  <c:v>45299</c:v>
                </c:pt>
                <c:pt idx="155">
                  <c:v>45300</c:v>
                </c:pt>
                <c:pt idx="156">
                  <c:v>45301</c:v>
                </c:pt>
                <c:pt idx="157">
                  <c:v>45302</c:v>
                </c:pt>
                <c:pt idx="158">
                  <c:v>45303</c:v>
                </c:pt>
                <c:pt idx="159">
                  <c:v>45307</c:v>
                </c:pt>
                <c:pt idx="160">
                  <c:v>45308</c:v>
                </c:pt>
                <c:pt idx="161">
                  <c:v>45309</c:v>
                </c:pt>
                <c:pt idx="162">
                  <c:v>45310</c:v>
                </c:pt>
                <c:pt idx="163">
                  <c:v>45313</c:v>
                </c:pt>
                <c:pt idx="164">
                  <c:v>45314</c:v>
                </c:pt>
                <c:pt idx="165">
                  <c:v>45315</c:v>
                </c:pt>
                <c:pt idx="166">
                  <c:v>45316</c:v>
                </c:pt>
                <c:pt idx="167">
                  <c:v>45317</c:v>
                </c:pt>
                <c:pt idx="168">
                  <c:v>45320</c:v>
                </c:pt>
                <c:pt idx="169">
                  <c:v>45321</c:v>
                </c:pt>
                <c:pt idx="170">
                  <c:v>45322</c:v>
                </c:pt>
                <c:pt idx="171">
                  <c:v>45323</c:v>
                </c:pt>
                <c:pt idx="172">
                  <c:v>45324</c:v>
                </c:pt>
                <c:pt idx="173">
                  <c:v>45327</c:v>
                </c:pt>
                <c:pt idx="174">
                  <c:v>45328</c:v>
                </c:pt>
                <c:pt idx="175">
                  <c:v>45329</c:v>
                </c:pt>
                <c:pt idx="176">
                  <c:v>45330</c:v>
                </c:pt>
                <c:pt idx="177">
                  <c:v>45331</c:v>
                </c:pt>
                <c:pt idx="178">
                  <c:v>45334</c:v>
                </c:pt>
                <c:pt idx="179">
                  <c:v>45335</c:v>
                </c:pt>
                <c:pt idx="180">
                  <c:v>45336</c:v>
                </c:pt>
                <c:pt idx="181">
                  <c:v>45337</c:v>
                </c:pt>
                <c:pt idx="182">
                  <c:v>45338</c:v>
                </c:pt>
                <c:pt idx="183">
                  <c:v>45342</c:v>
                </c:pt>
                <c:pt idx="184">
                  <c:v>45343</c:v>
                </c:pt>
                <c:pt idx="185">
                  <c:v>45344</c:v>
                </c:pt>
                <c:pt idx="186">
                  <c:v>45345</c:v>
                </c:pt>
                <c:pt idx="187">
                  <c:v>45348</c:v>
                </c:pt>
                <c:pt idx="188">
                  <c:v>45349</c:v>
                </c:pt>
                <c:pt idx="189">
                  <c:v>45350</c:v>
                </c:pt>
                <c:pt idx="190">
                  <c:v>45351</c:v>
                </c:pt>
                <c:pt idx="191">
                  <c:v>45352</c:v>
                </c:pt>
                <c:pt idx="192">
                  <c:v>45355</c:v>
                </c:pt>
                <c:pt idx="193">
                  <c:v>45356</c:v>
                </c:pt>
                <c:pt idx="194">
                  <c:v>45357</c:v>
                </c:pt>
                <c:pt idx="195">
                  <c:v>45358</c:v>
                </c:pt>
                <c:pt idx="196">
                  <c:v>45359</c:v>
                </c:pt>
                <c:pt idx="197">
                  <c:v>45362</c:v>
                </c:pt>
                <c:pt idx="198">
                  <c:v>45363</c:v>
                </c:pt>
                <c:pt idx="199">
                  <c:v>45364</c:v>
                </c:pt>
                <c:pt idx="200">
                  <c:v>45365</c:v>
                </c:pt>
                <c:pt idx="201">
                  <c:v>45366</c:v>
                </c:pt>
                <c:pt idx="202">
                  <c:v>45369</c:v>
                </c:pt>
                <c:pt idx="203">
                  <c:v>45370</c:v>
                </c:pt>
                <c:pt idx="204">
                  <c:v>45371</c:v>
                </c:pt>
                <c:pt idx="205">
                  <c:v>45372</c:v>
                </c:pt>
                <c:pt idx="206">
                  <c:v>45373</c:v>
                </c:pt>
                <c:pt idx="207">
                  <c:v>45376</c:v>
                </c:pt>
                <c:pt idx="208">
                  <c:v>45377</c:v>
                </c:pt>
                <c:pt idx="209">
                  <c:v>45378</c:v>
                </c:pt>
                <c:pt idx="210">
                  <c:v>45379</c:v>
                </c:pt>
                <c:pt idx="211">
                  <c:v>45383</c:v>
                </c:pt>
                <c:pt idx="212">
                  <c:v>45384</c:v>
                </c:pt>
                <c:pt idx="213">
                  <c:v>45385</c:v>
                </c:pt>
                <c:pt idx="214">
                  <c:v>45386</c:v>
                </c:pt>
                <c:pt idx="215">
                  <c:v>45387</c:v>
                </c:pt>
                <c:pt idx="216">
                  <c:v>45390</c:v>
                </c:pt>
                <c:pt idx="217">
                  <c:v>45391</c:v>
                </c:pt>
                <c:pt idx="218">
                  <c:v>45392</c:v>
                </c:pt>
                <c:pt idx="219">
                  <c:v>45393</c:v>
                </c:pt>
                <c:pt idx="220">
                  <c:v>45394</c:v>
                </c:pt>
                <c:pt idx="221">
                  <c:v>45397</c:v>
                </c:pt>
                <c:pt idx="222">
                  <c:v>45398</c:v>
                </c:pt>
                <c:pt idx="223">
                  <c:v>45399</c:v>
                </c:pt>
                <c:pt idx="224">
                  <c:v>45400</c:v>
                </c:pt>
                <c:pt idx="225">
                  <c:v>45401</c:v>
                </c:pt>
                <c:pt idx="226">
                  <c:v>45404</c:v>
                </c:pt>
                <c:pt idx="227">
                  <c:v>45405</c:v>
                </c:pt>
                <c:pt idx="228">
                  <c:v>45406</c:v>
                </c:pt>
                <c:pt idx="229">
                  <c:v>45407</c:v>
                </c:pt>
                <c:pt idx="230">
                  <c:v>45408</c:v>
                </c:pt>
                <c:pt idx="231">
                  <c:v>45411</c:v>
                </c:pt>
                <c:pt idx="232">
                  <c:v>45412</c:v>
                </c:pt>
                <c:pt idx="233">
                  <c:v>45413</c:v>
                </c:pt>
                <c:pt idx="234">
                  <c:v>45414</c:v>
                </c:pt>
                <c:pt idx="235">
                  <c:v>45415</c:v>
                </c:pt>
                <c:pt idx="236">
                  <c:v>45418</c:v>
                </c:pt>
                <c:pt idx="237">
                  <c:v>45419</c:v>
                </c:pt>
                <c:pt idx="238">
                  <c:v>45420</c:v>
                </c:pt>
                <c:pt idx="239">
                  <c:v>45421</c:v>
                </c:pt>
                <c:pt idx="240">
                  <c:v>45422</c:v>
                </c:pt>
                <c:pt idx="241">
                  <c:v>45425</c:v>
                </c:pt>
                <c:pt idx="242">
                  <c:v>45426</c:v>
                </c:pt>
                <c:pt idx="243">
                  <c:v>45427</c:v>
                </c:pt>
                <c:pt idx="244">
                  <c:v>45428</c:v>
                </c:pt>
                <c:pt idx="245">
                  <c:v>45429</c:v>
                </c:pt>
                <c:pt idx="246">
                  <c:v>45432</c:v>
                </c:pt>
                <c:pt idx="247">
                  <c:v>45433</c:v>
                </c:pt>
                <c:pt idx="248">
                  <c:v>45434</c:v>
                </c:pt>
                <c:pt idx="249">
                  <c:v>45435</c:v>
                </c:pt>
                <c:pt idx="250">
                  <c:v>45436</c:v>
                </c:pt>
              </c:numCache>
            </c:numRef>
          </c:cat>
          <c:val>
            <c:numRef>
              <c:f>Q6_ii_RawData!$K$2:$K$252</c:f>
              <c:numCache>
                <c:formatCode>General</c:formatCode>
                <c:ptCount val="251"/>
                <c:pt idx="0">
                  <c:v>3.7968000000000002E-2</c:v>
                </c:pt>
                <c:pt idx="1">
                  <c:v>3.4225999999999999E-2</c:v>
                </c:pt>
                <c:pt idx="2">
                  <c:v>1.3369000000000001E-2</c:v>
                </c:pt>
                <c:pt idx="3">
                  <c:v>2.8798000000000001E-2</c:v>
                </c:pt>
                <c:pt idx="4">
                  <c:v>0.15838099999999999</c:v>
                </c:pt>
                <c:pt idx="5">
                  <c:v>-1.3304E-2</c:v>
                </c:pt>
                <c:pt idx="6">
                  <c:v>-3.1748999999999999E-2</c:v>
                </c:pt>
                <c:pt idx="7">
                  <c:v>4.3950999999999997E-2</c:v>
                </c:pt>
                <c:pt idx="8">
                  <c:v>5.5099999999999995E-4</c:v>
                </c:pt>
                <c:pt idx="9">
                  <c:v>-8.5769999999999996E-3</c:v>
                </c:pt>
                <c:pt idx="10">
                  <c:v>6.9492999999999999E-2</c:v>
                </c:pt>
                <c:pt idx="11">
                  <c:v>6.1813E-2</c:v>
                </c:pt>
                <c:pt idx="12">
                  <c:v>1.5233999999999999E-2</c:v>
                </c:pt>
                <c:pt idx="13">
                  <c:v>2.1132999999999999E-2</c:v>
                </c:pt>
                <c:pt idx="14">
                  <c:v>-6.1785E-2</c:v>
                </c:pt>
                <c:pt idx="15">
                  <c:v>-4.2113999999999999E-2</c:v>
                </c:pt>
                <c:pt idx="16">
                  <c:v>-1.3384E-2</c:v>
                </c:pt>
                <c:pt idx="17">
                  <c:v>-1.009E-2</c:v>
                </c:pt>
                <c:pt idx="18">
                  <c:v>-1.9946999999999999E-2</c:v>
                </c:pt>
                <c:pt idx="19">
                  <c:v>0.14308299999999999</c:v>
                </c:pt>
                <c:pt idx="20">
                  <c:v>4.0237000000000002E-2</c:v>
                </c:pt>
                <c:pt idx="21">
                  <c:v>-1.0023000000000001E-2</c:v>
                </c:pt>
                <c:pt idx="22">
                  <c:v>-5.9699999999999996E-3</c:v>
                </c:pt>
                <c:pt idx="23">
                  <c:v>9.2100000000000005E-4</c:v>
                </c:pt>
                <c:pt idx="24">
                  <c:v>-4.4221999999999997E-2</c:v>
                </c:pt>
                <c:pt idx="25">
                  <c:v>-2.5083999999999999E-2</c:v>
                </c:pt>
                <c:pt idx="26">
                  <c:v>-2.222E-3</c:v>
                </c:pt>
                <c:pt idx="27">
                  <c:v>-1.2435E-2</c:v>
                </c:pt>
                <c:pt idx="28">
                  <c:v>9.2211000000000001E-2</c:v>
                </c:pt>
                <c:pt idx="29">
                  <c:v>-2.9710000000000001E-3</c:v>
                </c:pt>
                <c:pt idx="30">
                  <c:v>6.9617999999999999E-2</c:v>
                </c:pt>
                <c:pt idx="31">
                  <c:v>-5.4850000000000003E-2</c:v>
                </c:pt>
                <c:pt idx="32">
                  <c:v>3.8491999999999998E-2</c:v>
                </c:pt>
                <c:pt idx="33">
                  <c:v>2.2530999999999999E-2</c:v>
                </c:pt>
                <c:pt idx="34">
                  <c:v>2.8653999999999999E-2</c:v>
                </c:pt>
                <c:pt idx="35">
                  <c:v>-8.7424000000000002E-2</c:v>
                </c:pt>
                <c:pt idx="36">
                  <c:v>1.124E-3</c:v>
                </c:pt>
                <c:pt idx="37">
                  <c:v>-2.1354999999999999E-2</c:v>
                </c:pt>
                <c:pt idx="38">
                  <c:v>-8.0689999999999998E-3</c:v>
                </c:pt>
                <c:pt idx="39">
                  <c:v>3.0049999999999999E-3</c:v>
                </c:pt>
                <c:pt idx="40">
                  <c:v>-2.7729999999999999E-3</c:v>
                </c:pt>
                <c:pt idx="41">
                  <c:v>4.922E-2</c:v>
                </c:pt>
                <c:pt idx="42">
                  <c:v>9.8650000000000005E-3</c:v>
                </c:pt>
                <c:pt idx="43">
                  <c:v>-1.1849999999999999E-2</c:v>
                </c:pt>
                <c:pt idx="44">
                  <c:v>-8.8818999999999995E-2</c:v>
                </c:pt>
                <c:pt idx="45">
                  <c:v>-7.9930000000000001E-3</c:v>
                </c:pt>
                <c:pt idx="46">
                  <c:v>-2.3373999999999999E-2</c:v>
                </c:pt>
                <c:pt idx="47">
                  <c:v>-5.4920000000000004E-3</c:v>
                </c:pt>
                <c:pt idx="48">
                  <c:v>-2.6891999999999999E-2</c:v>
                </c:pt>
                <c:pt idx="49">
                  <c:v>-3.4797000000000002E-2</c:v>
                </c:pt>
                <c:pt idx="50">
                  <c:v>-1.2592000000000001E-2</c:v>
                </c:pt>
                <c:pt idx="51">
                  <c:v>-1.248E-2</c:v>
                </c:pt>
                <c:pt idx="52">
                  <c:v>-2.4599999999999999E-3</c:v>
                </c:pt>
                <c:pt idx="53">
                  <c:v>-3.3958000000000002E-2</c:v>
                </c:pt>
                <c:pt idx="54">
                  <c:v>-1.771E-2</c:v>
                </c:pt>
                <c:pt idx="55">
                  <c:v>-2.5096E-2</c:v>
                </c:pt>
                <c:pt idx="56">
                  <c:v>1.6704E-2</c:v>
                </c:pt>
                <c:pt idx="57">
                  <c:v>2.9020000000000001E-3</c:v>
                </c:pt>
                <c:pt idx="58">
                  <c:v>-1.3419E-2</c:v>
                </c:pt>
                <c:pt idx="59">
                  <c:v>1.6889999999999999E-2</c:v>
                </c:pt>
                <c:pt idx="60">
                  <c:v>-2.2780999999999999E-2</c:v>
                </c:pt>
                <c:pt idx="61">
                  <c:v>2.5377E-2</c:v>
                </c:pt>
                <c:pt idx="62">
                  <c:v>-8.6399999999999997E-4</c:v>
                </c:pt>
                <c:pt idx="63">
                  <c:v>6.3655000000000003E-2</c:v>
                </c:pt>
                <c:pt idx="64">
                  <c:v>1.3434E-2</c:v>
                </c:pt>
                <c:pt idx="65">
                  <c:v>-1.0732999999999999E-2</c:v>
                </c:pt>
                <c:pt idx="66">
                  <c:v>5.3899999999999998E-4</c:v>
                </c:pt>
                <c:pt idx="67">
                  <c:v>3.9386999999999998E-2</c:v>
                </c:pt>
                <c:pt idx="68">
                  <c:v>1.8235999999999999E-2</c:v>
                </c:pt>
                <c:pt idx="69">
                  <c:v>-3.3120999999999998E-2</c:v>
                </c:pt>
                <c:pt idx="70">
                  <c:v>-8.7200000000000003E-3</c:v>
                </c:pt>
                <c:pt idx="71">
                  <c:v>8.9829999999999997E-3</c:v>
                </c:pt>
                <c:pt idx="72">
                  <c:v>2.4680000000000001E-2</c:v>
                </c:pt>
                <c:pt idx="73">
                  <c:v>-5.6751000000000003E-2</c:v>
                </c:pt>
                <c:pt idx="74">
                  <c:v>-3.0609999999999998E-2</c:v>
                </c:pt>
                <c:pt idx="75">
                  <c:v>1.6938000000000002E-2</c:v>
                </c:pt>
                <c:pt idx="76">
                  <c:v>-8.2317000000000001E-2</c:v>
                </c:pt>
                <c:pt idx="77">
                  <c:v>1.5132E-2</c:v>
                </c:pt>
                <c:pt idx="78">
                  <c:v>-1.9026000000000001E-2</c:v>
                </c:pt>
                <c:pt idx="79">
                  <c:v>-4.8895000000000001E-2</c:v>
                </c:pt>
                <c:pt idx="80">
                  <c:v>-3.7889999999999998E-3</c:v>
                </c:pt>
                <c:pt idx="81">
                  <c:v>-7.9399999999999991E-3</c:v>
                </c:pt>
                <c:pt idx="82">
                  <c:v>-2.9447000000000001E-2</c:v>
                </c:pt>
                <c:pt idx="83">
                  <c:v>3.6059999999999998E-3</c:v>
                </c:pt>
                <c:pt idx="84">
                  <c:v>4.8960000000000002E-3</c:v>
                </c:pt>
                <c:pt idx="85">
                  <c:v>2.1901E-2</c:v>
                </c:pt>
                <c:pt idx="86">
                  <c:v>-2.7452000000000001E-2</c:v>
                </c:pt>
                <c:pt idx="87">
                  <c:v>-4.0766999999999998E-2</c:v>
                </c:pt>
                <c:pt idx="88">
                  <c:v>4.084E-3</c:v>
                </c:pt>
                <c:pt idx="89">
                  <c:v>-2.4063999999999999E-2</c:v>
                </c:pt>
                <c:pt idx="90">
                  <c:v>4.7895E-2</c:v>
                </c:pt>
                <c:pt idx="91">
                  <c:v>-1.5037999999999999E-2</c:v>
                </c:pt>
                <c:pt idx="92">
                  <c:v>1.0717000000000001E-2</c:v>
                </c:pt>
                <c:pt idx="93">
                  <c:v>8.293E-3</c:v>
                </c:pt>
                <c:pt idx="94">
                  <c:v>-4.1139000000000002E-2</c:v>
                </c:pt>
                <c:pt idx="95">
                  <c:v>-3.5742999999999997E-2</c:v>
                </c:pt>
                <c:pt idx="96">
                  <c:v>1.2409E-2</c:v>
                </c:pt>
                <c:pt idx="97">
                  <c:v>2.0576000000000001E-2</c:v>
                </c:pt>
                <c:pt idx="98">
                  <c:v>-5.2075000000000003E-2</c:v>
                </c:pt>
                <c:pt idx="99">
                  <c:v>-3.6400000000000001E-4</c:v>
                </c:pt>
                <c:pt idx="100">
                  <c:v>-1.1709000000000001E-2</c:v>
                </c:pt>
                <c:pt idx="101">
                  <c:v>-3.0266000000000001E-2</c:v>
                </c:pt>
                <c:pt idx="102">
                  <c:v>4.0517999999999998E-2</c:v>
                </c:pt>
                <c:pt idx="103">
                  <c:v>-6.6264000000000003E-2</c:v>
                </c:pt>
                <c:pt idx="104">
                  <c:v>8.1410000000000007E-3</c:v>
                </c:pt>
                <c:pt idx="105">
                  <c:v>-1.3997000000000001E-2</c:v>
                </c:pt>
                <c:pt idx="106">
                  <c:v>-1.8175E-2</c:v>
                </c:pt>
                <c:pt idx="107">
                  <c:v>1.1497E-2</c:v>
                </c:pt>
                <c:pt idx="108">
                  <c:v>-1.1497E-2</c:v>
                </c:pt>
                <c:pt idx="109">
                  <c:v>3.7947000000000002E-2</c:v>
                </c:pt>
                <c:pt idx="110">
                  <c:v>5.9246E-2</c:v>
                </c:pt>
                <c:pt idx="111">
                  <c:v>-6.8501999999999993E-2</c:v>
                </c:pt>
                <c:pt idx="112">
                  <c:v>3.764E-2</c:v>
                </c:pt>
                <c:pt idx="113">
                  <c:v>-2.8000000000000001E-2</c:v>
                </c:pt>
                <c:pt idx="114">
                  <c:v>-3.1972E-2</c:v>
                </c:pt>
                <c:pt idx="115">
                  <c:v>6.7777000000000004E-2</c:v>
                </c:pt>
                <c:pt idx="116">
                  <c:v>4.1695000000000003E-2</c:v>
                </c:pt>
                <c:pt idx="117">
                  <c:v>3.5581000000000002E-2</c:v>
                </c:pt>
                <c:pt idx="118">
                  <c:v>3.4027000000000002E-2</c:v>
                </c:pt>
                <c:pt idx="119">
                  <c:v>-4.3668999999999999E-2</c:v>
                </c:pt>
                <c:pt idx="120">
                  <c:v>1.0326999999999999E-2</c:v>
                </c:pt>
                <c:pt idx="121">
                  <c:v>8.1860000000000006E-3</c:v>
                </c:pt>
                <c:pt idx="122">
                  <c:v>-3.5261000000000001E-2</c:v>
                </c:pt>
                <c:pt idx="123">
                  <c:v>5.9639999999999997E-3</c:v>
                </c:pt>
                <c:pt idx="124">
                  <c:v>9.0530000000000003E-3</c:v>
                </c:pt>
                <c:pt idx="125">
                  <c:v>-2.5273E-2</c:v>
                </c:pt>
                <c:pt idx="126">
                  <c:v>4.3137000000000002E-2</c:v>
                </c:pt>
                <c:pt idx="127">
                  <c:v>3.3152000000000001E-2</c:v>
                </c:pt>
                <c:pt idx="128">
                  <c:v>-2.8396999999999999E-2</c:v>
                </c:pt>
                <c:pt idx="129">
                  <c:v>9.7126000000000004E-2</c:v>
                </c:pt>
                <c:pt idx="130">
                  <c:v>3.3769999999999998E-3</c:v>
                </c:pt>
                <c:pt idx="131">
                  <c:v>-4.2893000000000001E-2</c:v>
                </c:pt>
                <c:pt idx="132">
                  <c:v>7.6480000000000003E-3</c:v>
                </c:pt>
                <c:pt idx="133">
                  <c:v>1.2618000000000001E-2</c:v>
                </c:pt>
                <c:pt idx="134">
                  <c:v>2.4768999999999999E-2</c:v>
                </c:pt>
                <c:pt idx="135">
                  <c:v>-9.2169999999999995E-3</c:v>
                </c:pt>
                <c:pt idx="136">
                  <c:v>2.409E-2</c:v>
                </c:pt>
                <c:pt idx="137">
                  <c:v>6.4181000000000002E-2</c:v>
                </c:pt>
                <c:pt idx="138">
                  <c:v>7.8497999999999998E-2</c:v>
                </c:pt>
                <c:pt idx="139">
                  <c:v>2.7823000000000001E-2</c:v>
                </c:pt>
                <c:pt idx="140">
                  <c:v>-1.271E-3</c:v>
                </c:pt>
                <c:pt idx="141">
                  <c:v>4.0628999999999998E-2</c:v>
                </c:pt>
                <c:pt idx="142">
                  <c:v>-5.7043000000000003E-2</c:v>
                </c:pt>
                <c:pt idx="143">
                  <c:v>2.6539E-2</c:v>
                </c:pt>
                <c:pt idx="144">
                  <c:v>-1.2671E-2</c:v>
                </c:pt>
                <c:pt idx="145">
                  <c:v>7.2066000000000005E-2</c:v>
                </c:pt>
                <c:pt idx="146">
                  <c:v>1.3904E-2</c:v>
                </c:pt>
                <c:pt idx="147">
                  <c:v>-1.1709999999999999E-3</c:v>
                </c:pt>
                <c:pt idx="148">
                  <c:v>-4.2845000000000001E-2</c:v>
                </c:pt>
                <c:pt idx="149">
                  <c:v>-5.2722999999999999E-2</c:v>
                </c:pt>
                <c:pt idx="150">
                  <c:v>-4.9138000000000001E-2</c:v>
                </c:pt>
                <c:pt idx="151">
                  <c:v>3.2439999999999999E-3</c:v>
                </c:pt>
                <c:pt idx="152">
                  <c:v>1.9512000000000002E-2</c:v>
                </c:pt>
                <c:pt idx="153">
                  <c:v>3.1268999999999998E-2</c:v>
                </c:pt>
                <c:pt idx="154">
                  <c:v>-8.3146999999999999E-2</c:v>
                </c:pt>
                <c:pt idx="155">
                  <c:v>3.4523999999999999E-2</c:v>
                </c:pt>
                <c:pt idx="156">
                  <c:v>-6.4232999999999998E-2</c:v>
                </c:pt>
                <c:pt idx="157">
                  <c:v>-6.6270000000000001E-3</c:v>
                </c:pt>
                <c:pt idx="158">
                  <c:v>-1.4267E-2</c:v>
                </c:pt>
                <c:pt idx="159">
                  <c:v>-3.3396000000000002E-2</c:v>
                </c:pt>
                <c:pt idx="160">
                  <c:v>-3.3409999999999998E-3</c:v>
                </c:pt>
                <c:pt idx="161">
                  <c:v>8.1810000000000008E-3</c:v>
                </c:pt>
                <c:pt idx="162">
                  <c:v>3.2069E-2</c:v>
                </c:pt>
                <c:pt idx="163">
                  <c:v>1.7520000000000001E-3</c:v>
                </c:pt>
                <c:pt idx="164">
                  <c:v>-3.7145999999999998E-2</c:v>
                </c:pt>
                <c:pt idx="165">
                  <c:v>-4.5519999999999996E-3</c:v>
                </c:pt>
                <c:pt idx="166">
                  <c:v>6.9709999999999998E-3</c:v>
                </c:pt>
                <c:pt idx="167">
                  <c:v>4.4018000000000002E-2</c:v>
                </c:pt>
                <c:pt idx="168">
                  <c:v>-3.2009999999999997E-2</c:v>
                </c:pt>
                <c:pt idx="169">
                  <c:v>-3.3685E-2</c:v>
                </c:pt>
                <c:pt idx="170">
                  <c:v>-1.336E-2</c:v>
                </c:pt>
                <c:pt idx="171">
                  <c:v>2.6849000000000001E-2</c:v>
                </c:pt>
                <c:pt idx="172">
                  <c:v>-4.2930000000000003E-2</c:v>
                </c:pt>
                <c:pt idx="173">
                  <c:v>1.8579999999999999E-2</c:v>
                </c:pt>
                <c:pt idx="174">
                  <c:v>1.4558E-2</c:v>
                </c:pt>
                <c:pt idx="175">
                  <c:v>2.7E-2</c:v>
                </c:pt>
                <c:pt idx="176">
                  <c:v>1.2197E-2</c:v>
                </c:pt>
                <c:pt idx="177">
                  <c:v>8.2450000000000006E-3</c:v>
                </c:pt>
                <c:pt idx="178">
                  <c:v>-2.9461999999999999E-2</c:v>
                </c:pt>
                <c:pt idx="179">
                  <c:v>5.2937999999999999E-2</c:v>
                </c:pt>
                <c:pt idx="180">
                  <c:v>3.1459999999999999E-3</c:v>
                </c:pt>
                <c:pt idx="181">
                  <c:v>-3.2503999999999998E-2</c:v>
                </c:pt>
                <c:pt idx="182">
                  <c:v>-5.7054000000000001E-2</c:v>
                </c:pt>
                <c:pt idx="183">
                  <c:v>-3.7872000000000003E-2</c:v>
                </c:pt>
                <c:pt idx="184">
                  <c:v>6.1440000000000002E-3</c:v>
                </c:pt>
                <c:pt idx="185">
                  <c:v>7.7070000000000003E-3</c:v>
                </c:pt>
                <c:pt idx="186">
                  <c:v>5.5379999999999999E-2</c:v>
                </c:pt>
                <c:pt idx="187">
                  <c:v>-6.3087000000000004E-2</c:v>
                </c:pt>
                <c:pt idx="188">
                  <c:v>-5.7386E-2</c:v>
                </c:pt>
                <c:pt idx="189">
                  <c:v>1.024E-3</c:v>
                </c:pt>
                <c:pt idx="190">
                  <c:v>-1.4082000000000001E-2</c:v>
                </c:pt>
                <c:pt idx="191">
                  <c:v>-6.7979999999999999E-2</c:v>
                </c:pt>
                <c:pt idx="192">
                  <c:v>-4.4530000000000004E-3</c:v>
                </c:pt>
                <c:pt idx="193">
                  <c:v>6.3020000000000003E-3</c:v>
                </c:pt>
                <c:pt idx="194">
                  <c:v>1.0293999999999999E-2</c:v>
                </c:pt>
                <c:pt idx="195">
                  <c:v>-1.0293999999999999E-2</c:v>
                </c:pt>
                <c:pt idx="196">
                  <c:v>1.477E-3</c:v>
                </c:pt>
                <c:pt idx="197">
                  <c:v>-4.2207000000000001E-2</c:v>
                </c:pt>
                <c:pt idx="198">
                  <c:v>7.6689999999999996E-3</c:v>
                </c:pt>
                <c:pt idx="199">
                  <c:v>-6.8989999999999998E-3</c:v>
                </c:pt>
                <c:pt idx="200">
                  <c:v>3.4559999999999999E-3</c:v>
                </c:pt>
                <c:pt idx="201">
                  <c:v>-7.67E-4</c:v>
                </c:pt>
                <c:pt idx="202">
                  <c:v>-2.689E-3</c:v>
                </c:pt>
                <c:pt idx="203">
                  <c:v>4.3281E-2</c:v>
                </c:pt>
                <c:pt idx="204">
                  <c:v>1.5351E-2</c:v>
                </c:pt>
                <c:pt idx="205">
                  <c:v>-2.1262E-2</c:v>
                </c:pt>
                <c:pt idx="206">
                  <c:v>7.7510000000000001E-3</c:v>
                </c:pt>
                <c:pt idx="207">
                  <c:v>-1.8553E-2</c:v>
                </c:pt>
                <c:pt idx="208">
                  <c:v>1.0803E-2</c:v>
                </c:pt>
                <c:pt idx="209">
                  <c:v>-1.0803E-2</c:v>
                </c:pt>
                <c:pt idx="210">
                  <c:v>-3.3760000000000001E-3</c:v>
                </c:pt>
                <c:pt idx="211">
                  <c:v>-1.3620999999999999E-2</c:v>
                </c:pt>
                <c:pt idx="212">
                  <c:v>-1.8842999999999999E-2</c:v>
                </c:pt>
                <c:pt idx="213">
                  <c:v>-1.7228E-2</c:v>
                </c:pt>
                <c:pt idx="214">
                  <c:v>1.5790000000000001E-3</c:v>
                </c:pt>
                <c:pt idx="215">
                  <c:v>3.2967999999999997E-2</c:v>
                </c:pt>
                <c:pt idx="216">
                  <c:v>3.2654000000000002E-2</c:v>
                </c:pt>
                <c:pt idx="217">
                  <c:v>-4.3781E-2</c:v>
                </c:pt>
                <c:pt idx="218">
                  <c:v>5.0029999999999996E-3</c:v>
                </c:pt>
                <c:pt idx="219">
                  <c:v>-2.8818E-2</c:v>
                </c:pt>
                <c:pt idx="220">
                  <c:v>-3.5388000000000003E-2</c:v>
                </c:pt>
                <c:pt idx="221">
                  <c:v>-2.0261000000000001E-2</c:v>
                </c:pt>
                <c:pt idx="222">
                  <c:v>-9.2320000000000006E-3</c:v>
                </c:pt>
                <c:pt idx="223">
                  <c:v>-1.2300999999999999E-2</c:v>
                </c:pt>
                <c:pt idx="224">
                  <c:v>-2.3317000000000001E-2</c:v>
                </c:pt>
                <c:pt idx="225">
                  <c:v>0</c:v>
                </c:pt>
                <c:pt idx="226">
                  <c:v>9.1319999999999995E-3</c:v>
                </c:pt>
                <c:pt idx="227">
                  <c:v>2.0142E-2</c:v>
                </c:pt>
                <c:pt idx="228">
                  <c:v>-1.0663000000000001E-2</c:v>
                </c:pt>
                <c:pt idx="229">
                  <c:v>3.4145000000000002E-2</c:v>
                </c:pt>
                <c:pt idx="230">
                  <c:v>3.5020000000000003E-2</c:v>
                </c:pt>
                <c:pt idx="231">
                  <c:v>-2.9235000000000001E-2</c:v>
                </c:pt>
                <c:pt idx="232">
                  <c:v>1.1471E-2</c:v>
                </c:pt>
                <c:pt idx="233">
                  <c:v>-1.6012999999999999E-2</c:v>
                </c:pt>
                <c:pt idx="234">
                  <c:v>2.3723000000000001E-2</c:v>
                </c:pt>
                <c:pt idx="235">
                  <c:v>2.9864999999999999E-2</c:v>
                </c:pt>
                <c:pt idx="236">
                  <c:v>-6.692E-3</c:v>
                </c:pt>
                <c:pt idx="237">
                  <c:v>-4.9383000000000003E-2</c:v>
                </c:pt>
                <c:pt idx="238">
                  <c:v>2.4870000000000001E-3</c:v>
                </c:pt>
                <c:pt idx="239">
                  <c:v>-0.107847</c:v>
                </c:pt>
                <c:pt idx="240">
                  <c:v>4.5073000000000002E-2</c:v>
                </c:pt>
                <c:pt idx="241">
                  <c:v>1.4873000000000001E-2</c:v>
                </c:pt>
                <c:pt idx="242">
                  <c:v>-2.8629999999999999E-2</c:v>
                </c:pt>
                <c:pt idx="243">
                  <c:v>-1.3043000000000001E-2</c:v>
                </c:pt>
                <c:pt idx="244">
                  <c:v>-1.9196000000000001E-2</c:v>
                </c:pt>
                <c:pt idx="245">
                  <c:v>-1.8631000000000002E-2</c:v>
                </c:pt>
                <c:pt idx="246">
                  <c:v>-3.3950000000000001E-2</c:v>
                </c:pt>
                <c:pt idx="247">
                  <c:v>-5.365E-3</c:v>
                </c:pt>
                <c:pt idx="248">
                  <c:v>-4.2452999999999998E-2</c:v>
                </c:pt>
                <c:pt idx="249">
                  <c:v>-1.0257E-2</c:v>
                </c:pt>
                <c:pt idx="250">
                  <c:v>0.19400000000000001</c:v>
                </c:pt>
              </c:numCache>
            </c:numRef>
          </c:val>
          <c:smooth val="0"/>
          <c:extLst>
            <c:ext xmlns:c16="http://schemas.microsoft.com/office/drawing/2014/chart" uri="{C3380CC4-5D6E-409C-BE32-E72D297353CC}">
              <c16:uniqueId val="{00000009-C12E-4974-81F6-4048F8F19A91}"/>
            </c:ext>
          </c:extLst>
        </c:ser>
        <c:dLbls>
          <c:showLegendKey val="0"/>
          <c:showVal val="0"/>
          <c:showCatName val="0"/>
          <c:showSerName val="0"/>
          <c:showPercent val="0"/>
          <c:showBubbleSize val="0"/>
        </c:dLbls>
        <c:hiLowLines>
          <c:spPr>
            <a:ln w="0">
              <a:noFill/>
            </a:ln>
          </c:spPr>
        </c:hiLowLines>
        <c:smooth val="0"/>
        <c:axId val="91688861"/>
        <c:axId val="424100"/>
      </c:lineChart>
      <c:dateAx>
        <c:axId val="91688861"/>
        <c:scaling>
          <c:orientation val="minMax"/>
        </c:scaling>
        <c:delete val="0"/>
        <c:axPos val="b"/>
        <c:numFmt formatCode="[$-409]d\-mmm\-yy;@" sourceLinked="0"/>
        <c:majorTickMark val="out"/>
        <c:minorTickMark val="none"/>
        <c:tickLblPos val="nextTo"/>
        <c:spPr>
          <a:ln w="9360">
            <a:solidFill>
              <a:srgbClr val="D9D9D9"/>
            </a:solidFill>
            <a:round/>
          </a:ln>
        </c:spPr>
        <c:txPr>
          <a:bodyPr/>
          <a:lstStyle/>
          <a:p>
            <a:pPr>
              <a:defRPr sz="900" b="0" strike="noStrike" spc="-1">
                <a:solidFill>
                  <a:srgbClr val="595959"/>
                </a:solidFill>
                <a:latin typeface="Calibri"/>
                <a:ea typeface="Calibri"/>
              </a:defRPr>
            </a:pPr>
            <a:endParaRPr lang="en-NO"/>
          </a:p>
        </c:txPr>
        <c:crossAx val="424100"/>
        <c:crosses val="autoZero"/>
        <c:auto val="1"/>
        <c:lblOffset val="100"/>
        <c:baseTimeUnit val="days"/>
      </c:dateAx>
      <c:valAx>
        <c:axId val="424100"/>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lstStyle/>
          <a:p>
            <a:pPr>
              <a:defRPr sz="900" b="0" strike="noStrike" spc="-1">
                <a:solidFill>
                  <a:srgbClr val="595959"/>
                </a:solidFill>
                <a:latin typeface="Calibri"/>
                <a:ea typeface="Calibri"/>
              </a:defRPr>
            </a:pPr>
            <a:endParaRPr lang="en-NO"/>
          </a:p>
        </c:txPr>
        <c:crossAx val="91688861"/>
        <c:crosses val="autoZero"/>
        <c:crossBetween val="between"/>
      </c:valAx>
      <c:spPr>
        <a:noFill/>
        <a:ln w="0">
          <a:noFill/>
        </a:ln>
      </c:spPr>
    </c:plotArea>
    <c:legend>
      <c:legendPos val="b"/>
      <c:overlay val="0"/>
      <c:spPr>
        <a:noFill/>
        <a:ln w="0">
          <a:noFill/>
        </a:ln>
      </c:spPr>
      <c:txPr>
        <a:bodyPr/>
        <a:lstStyle/>
        <a:p>
          <a:pPr>
            <a:defRPr sz="900" b="0" strike="noStrike" spc="-1">
              <a:solidFill>
                <a:srgbClr val="595959"/>
              </a:solidFill>
              <a:latin typeface="Calibri"/>
              <a:ea typeface="Calibri"/>
            </a:defRPr>
          </a:pPr>
          <a:endParaRPr lang="en-NO"/>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Q6(iii): ESO Fair Value vs Volatility</a:t>
            </a:r>
          </a:p>
        </c:rich>
      </c:tx>
      <c:overlay val="0"/>
      <c:spPr>
        <a:noFill/>
        <a:ln w="0">
          <a:noFill/>
        </a:ln>
      </c:spPr>
    </c:title>
    <c:autoTitleDeleted val="0"/>
    <c:plotArea>
      <c:layout/>
      <c:lineChart>
        <c:grouping val="standard"/>
        <c:varyColors val="0"/>
        <c:ser>
          <c:idx val="0"/>
          <c:order val="0"/>
          <c:tx>
            <c:strRef>
              <c:f>Q6_iii_ESO!$E$5</c:f>
              <c:strCache>
                <c:ptCount val="1"/>
                <c:pt idx="0">
                  <c:v>ESO value</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Q6_iii_ESO!$D$6:$D$12</c:f>
              <c:numCache>
                <c:formatCode>0.00%</c:formatCode>
                <c:ptCount val="7"/>
                <c:pt idx="0">
                  <c:v>0.2</c:v>
                </c:pt>
                <c:pt idx="1">
                  <c:v>0.25</c:v>
                </c:pt>
                <c:pt idx="2">
                  <c:v>0.3</c:v>
                </c:pt>
                <c:pt idx="3">
                  <c:v>0.35</c:v>
                </c:pt>
                <c:pt idx="4">
                  <c:v>0.4</c:v>
                </c:pt>
                <c:pt idx="5">
                  <c:v>0.45</c:v>
                </c:pt>
                <c:pt idx="6">
                  <c:v>0.5</c:v>
                </c:pt>
              </c:numCache>
            </c:numRef>
          </c:cat>
          <c:val>
            <c:numRef>
              <c:f>Q6_iii_ESO!$E$6:$E$12</c:f>
              <c:numCache>
                <c:formatCode>\€#\ ##0.00;[Red]"(€"#\ ##0.00\);\-</c:formatCode>
                <c:ptCount val="7"/>
                <c:pt idx="0">
                  <c:v>9.6069101790425275</c:v>
                </c:pt>
                <c:pt idx="1">
                  <c:v>11.102896282216426</c:v>
                </c:pt>
                <c:pt idx="2">
                  <c:v>12.591294552465081</c:v>
                </c:pt>
                <c:pt idx="3">
                  <c:v>14.056557922306817</c:v>
                </c:pt>
                <c:pt idx="4">
                  <c:v>15.488521071551217</c:v>
                </c:pt>
                <c:pt idx="5">
                  <c:v>16.879744852861645</c:v>
                </c:pt>
                <c:pt idx="6">
                  <c:v>18.224446648998615</c:v>
                </c:pt>
              </c:numCache>
            </c:numRef>
          </c:val>
          <c:smooth val="1"/>
          <c:extLst>
            <c:ext xmlns:c16="http://schemas.microsoft.com/office/drawing/2014/chart" uri="{C3380CC4-5D6E-409C-BE32-E72D297353CC}">
              <c16:uniqueId val="{00000000-C9F4-407E-AF02-83C57DA8BE38}"/>
            </c:ext>
          </c:extLst>
        </c:ser>
        <c:dLbls>
          <c:showLegendKey val="0"/>
          <c:showVal val="0"/>
          <c:showCatName val="0"/>
          <c:showSerName val="0"/>
          <c:showPercent val="0"/>
          <c:showBubbleSize val="0"/>
        </c:dLbls>
        <c:hiLowLines>
          <c:spPr>
            <a:ln w="0">
              <a:noFill/>
            </a:ln>
          </c:spPr>
        </c:hiLowLines>
        <c:smooth val="0"/>
        <c:axId val="72419064"/>
        <c:axId val="24381941"/>
      </c:lineChart>
      <c:catAx>
        <c:axId val="72419064"/>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Volatility</a:t>
                </a:r>
              </a:p>
            </c:rich>
          </c:tx>
          <c:overlay val="0"/>
          <c:spPr>
            <a:noFill/>
            <a:ln w="0">
              <a:noFill/>
            </a:ln>
          </c:spPr>
        </c:title>
        <c:numFmt formatCode="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24381941"/>
        <c:crosses val="autoZero"/>
        <c:auto val="1"/>
        <c:lblAlgn val="ctr"/>
        <c:lblOffset val="100"/>
        <c:noMultiLvlLbl val="0"/>
      </c:catAx>
      <c:valAx>
        <c:axId val="24381941"/>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ESO Value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72419064"/>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zero"/>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Q6(iii): ESO Fair Value vs Expected Life</a:t>
            </a:r>
          </a:p>
        </c:rich>
      </c:tx>
      <c:overlay val="0"/>
      <c:spPr>
        <a:noFill/>
        <a:ln w="0">
          <a:noFill/>
        </a:ln>
      </c:spPr>
    </c:title>
    <c:autoTitleDeleted val="0"/>
    <c:plotArea>
      <c:layout/>
      <c:lineChart>
        <c:grouping val="standard"/>
        <c:varyColors val="0"/>
        <c:ser>
          <c:idx val="0"/>
          <c:order val="0"/>
          <c:tx>
            <c:strRef>
              <c:f>Q6_iii_ESO!$H$5</c:f>
              <c:strCache>
                <c:ptCount val="1"/>
                <c:pt idx="0">
                  <c:v>ESO value</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Q6_iii_ESO!$G$6:$G$10</c:f>
              <c:numCache>
                <c:formatCode>General</c:formatCode>
                <c:ptCount val="5"/>
                <c:pt idx="0">
                  <c:v>4</c:v>
                </c:pt>
                <c:pt idx="1">
                  <c:v>5</c:v>
                </c:pt>
                <c:pt idx="2">
                  <c:v>6</c:v>
                </c:pt>
                <c:pt idx="3">
                  <c:v>7</c:v>
                </c:pt>
                <c:pt idx="4">
                  <c:v>8</c:v>
                </c:pt>
              </c:numCache>
            </c:numRef>
          </c:cat>
          <c:val>
            <c:numRef>
              <c:f>Q6_iii_ESO!$H$6:$H$10</c:f>
              <c:numCache>
                <c:formatCode>\€#\ ##0.00;[Red]"(€"#\ ##0.00\);\-</c:formatCode>
                <c:ptCount val="5"/>
                <c:pt idx="0">
                  <c:v>11.289314172650149</c:v>
                </c:pt>
                <c:pt idx="1">
                  <c:v>12.391751383341694</c:v>
                </c:pt>
                <c:pt idx="2">
                  <c:v>13.339457122819363</c:v>
                </c:pt>
                <c:pt idx="3">
                  <c:v>14.164851407648449</c:v>
                </c:pt>
                <c:pt idx="4">
                  <c:v>14.889849047398778</c:v>
                </c:pt>
              </c:numCache>
            </c:numRef>
          </c:val>
          <c:smooth val="1"/>
          <c:extLst>
            <c:ext xmlns:c16="http://schemas.microsoft.com/office/drawing/2014/chart" uri="{C3380CC4-5D6E-409C-BE32-E72D297353CC}">
              <c16:uniqueId val="{00000000-6ABE-43C7-9E64-25AA41CF2696}"/>
            </c:ext>
          </c:extLst>
        </c:ser>
        <c:dLbls>
          <c:showLegendKey val="0"/>
          <c:showVal val="0"/>
          <c:showCatName val="0"/>
          <c:showSerName val="0"/>
          <c:showPercent val="0"/>
          <c:showBubbleSize val="0"/>
        </c:dLbls>
        <c:hiLowLines>
          <c:spPr>
            <a:ln w="0">
              <a:noFill/>
            </a:ln>
          </c:spPr>
        </c:hiLowLines>
        <c:smooth val="0"/>
        <c:axId val="66716995"/>
        <c:axId val="20389124"/>
      </c:lineChart>
      <c:catAx>
        <c:axId val="66716995"/>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Expected Life (years)</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20389124"/>
        <c:crosses val="autoZero"/>
        <c:auto val="1"/>
        <c:lblAlgn val="ctr"/>
        <c:lblOffset val="100"/>
        <c:noMultiLvlLbl val="0"/>
      </c:catAx>
      <c:valAx>
        <c:axId val="20389124"/>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ESO Value (€)</a:t>
                </a:r>
              </a:p>
            </c:rich>
          </c:tx>
          <c:overlay val="0"/>
          <c:spPr>
            <a:noFill/>
            <a:ln w="0">
              <a:noFill/>
            </a:ln>
          </c:spPr>
        </c:title>
        <c:numFmt formatCode="\€#\ ##0.00;[Red]&quot;(€&quot;#\ ##0.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66716995"/>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zero"/>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c:style val="2"/>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Q6(iii): ESO Fair Value vs Vesting Period</a:t>
            </a:r>
          </a:p>
        </c:rich>
      </c:tx>
      <c:overlay val="0"/>
      <c:spPr>
        <a:noFill/>
        <a:ln w="0">
          <a:noFill/>
        </a:ln>
      </c:spPr>
    </c:title>
    <c:autoTitleDeleted val="0"/>
    <c:plotArea>
      <c:layout/>
      <c:lineChart>
        <c:grouping val="standard"/>
        <c:varyColors val="0"/>
        <c:ser>
          <c:idx val="0"/>
          <c:order val="0"/>
          <c:tx>
            <c:strRef>
              <c:f>Q6_iii_ESO!$N$5</c:f>
              <c:strCache>
                <c:ptCount val="1"/>
                <c:pt idx="0">
                  <c:v>ESO value</c:v>
                </c:pt>
              </c:strCache>
            </c:strRef>
          </c:tx>
          <c:spPr>
            <a:ln w="47520">
              <a:solidFill>
                <a:srgbClr val="4A7EBB"/>
              </a:solidFill>
              <a:round/>
            </a:ln>
          </c:spPr>
          <c:marker>
            <c:symbol val="none"/>
          </c:marker>
          <c:dLbls>
            <c:spPr>
              <a:noFill/>
              <a:ln>
                <a:noFill/>
              </a:ln>
              <a:effectLst/>
            </c:spPr>
            <c:txPr>
              <a:bodyPr wrap="none"/>
              <a:lstStyle/>
              <a:p>
                <a:pPr>
                  <a:defRPr sz="1000" b="0" strike="noStrike" spc="-1">
                    <a:latin typeface="Arial"/>
                  </a:defRPr>
                </a:pPr>
                <a:endParaRPr lang="en-NO"/>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Q6_iii_ESO!$M$6:$M$11</c:f>
              <c:numCache>
                <c:formatCode>General</c:formatCode>
                <c:ptCount val="6"/>
                <c:pt idx="0">
                  <c:v>1</c:v>
                </c:pt>
                <c:pt idx="1">
                  <c:v>2</c:v>
                </c:pt>
                <c:pt idx="2">
                  <c:v>3</c:v>
                </c:pt>
                <c:pt idx="3">
                  <c:v>4</c:v>
                </c:pt>
                <c:pt idx="4">
                  <c:v>5</c:v>
                </c:pt>
                <c:pt idx="5">
                  <c:v>6</c:v>
                </c:pt>
              </c:numCache>
            </c:numRef>
          </c:cat>
          <c:val>
            <c:numRef>
              <c:f>Q6_iii_ESO!$N$6:$N$11</c:f>
              <c:numCache>
                <c:formatCode>General</c:formatCode>
                <c:ptCount val="6"/>
                <c:pt idx="0">
                  <c:v>14.764033093337224</c:v>
                </c:pt>
                <c:pt idx="1">
                  <c:v>14.256230320732378</c:v>
                </c:pt>
                <c:pt idx="2">
                  <c:v>13.765893213114527</c:v>
                </c:pt>
                <c:pt idx="3">
                  <c:v>13.292421046206663</c:v>
                </c:pt>
                <c:pt idx="4">
                  <c:v>12.835233757393221</c:v>
                </c:pt>
                <c:pt idx="5">
                  <c:v>12.393771235070851</c:v>
                </c:pt>
              </c:numCache>
            </c:numRef>
          </c:val>
          <c:smooth val="1"/>
          <c:extLst>
            <c:ext xmlns:c16="http://schemas.microsoft.com/office/drawing/2014/chart" uri="{C3380CC4-5D6E-409C-BE32-E72D297353CC}">
              <c16:uniqueId val="{00000000-B585-4EDD-8E47-BCEB84AA7F31}"/>
            </c:ext>
          </c:extLst>
        </c:ser>
        <c:dLbls>
          <c:showLegendKey val="0"/>
          <c:showVal val="0"/>
          <c:showCatName val="0"/>
          <c:showSerName val="0"/>
          <c:showPercent val="0"/>
          <c:showBubbleSize val="0"/>
        </c:dLbls>
        <c:hiLowLines>
          <c:spPr>
            <a:ln w="0">
              <a:noFill/>
            </a:ln>
          </c:spPr>
        </c:hiLowLines>
        <c:smooth val="0"/>
        <c:axId val="27902798"/>
        <c:axId val="84257993"/>
      </c:lineChart>
      <c:catAx>
        <c:axId val="27902798"/>
        <c:scaling>
          <c:orientation val="minMax"/>
        </c:scaling>
        <c:delete val="0"/>
        <c:axPos val="b"/>
        <c:title>
          <c:tx>
            <c:rich>
              <a:bodyPr rot="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Vesting Period (years)</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84257993"/>
        <c:crosses val="autoZero"/>
        <c:auto val="1"/>
        <c:lblAlgn val="ctr"/>
        <c:lblOffset val="100"/>
        <c:noMultiLvlLbl val="0"/>
      </c:catAx>
      <c:valAx>
        <c:axId val="84257993"/>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ESO Value (€)</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ea typeface="Calibri"/>
              </a:defRPr>
            </a:pPr>
            <a:endParaRPr lang="en-NO"/>
          </a:p>
        </c:txPr>
        <c:crossAx val="27902798"/>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NO"/>
        </a:p>
      </c:txPr>
    </c:legend>
    <c:plotVisOnly val="1"/>
    <c:dispBlanksAs val="zero"/>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Q6_iii_ESO!A1"/><Relationship Id="rId3" Type="http://schemas.openxmlformats.org/officeDocument/2006/relationships/hyperlink" Target="#Q5_iii_YTM!A1"/><Relationship Id="rId7" Type="http://schemas.openxmlformats.org/officeDocument/2006/relationships/hyperlink" Target="#Q6_ii_VaR_CVaR!A1"/><Relationship Id="rId2" Type="http://schemas.openxmlformats.org/officeDocument/2006/relationships/hyperlink" Target="#Q5_ii_Bond_Duration!A1"/><Relationship Id="rId1" Type="http://schemas.openxmlformats.org/officeDocument/2006/relationships/hyperlink" Target="#Q5_i_Annuity!A1"/><Relationship Id="rId6" Type="http://schemas.openxmlformats.org/officeDocument/2006/relationships/hyperlink" Target="#Q6_i_Black76!A1"/><Relationship Id="rId5" Type="http://schemas.openxmlformats.org/officeDocument/2006/relationships/hyperlink" Target="#Q5_iv_Mortgage!A1"/><Relationship Id="rId4" Type="http://schemas.openxmlformats.org/officeDocument/2006/relationships/hyperlink" Target="#Q5_v_TermStructure!A1"/></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xdr:col>
      <xdr:colOff>165100</xdr:colOff>
      <xdr:row>4</xdr:row>
      <xdr:rowOff>114300</xdr:rowOff>
    </xdr:from>
    <xdr:to>
      <xdr:col>3</xdr:col>
      <xdr:colOff>292100</xdr:colOff>
      <xdr:row>5</xdr:row>
      <xdr:rowOff>139700</xdr:rowOff>
    </xdr:to>
    <xdr:sp macro="[0]!Q5i" textlink="">
      <xdr:nvSpPr>
        <xdr:cNvPr id="3" name="Rectangle 2">
          <a:hlinkClick xmlns:r="http://schemas.openxmlformats.org/officeDocument/2006/relationships" r:id="rId1"/>
          <a:extLst>
            <a:ext uri="{FF2B5EF4-FFF2-40B4-BE49-F238E27FC236}">
              <a16:creationId xmlns:a16="http://schemas.microsoft.com/office/drawing/2014/main" id="{4EBF6215-CB34-24A6-CFB2-0C852489D5B1}"/>
            </a:ext>
          </a:extLst>
        </xdr:cNvPr>
        <xdr:cNvSpPr/>
      </xdr:nvSpPr>
      <xdr:spPr>
        <a:xfrm>
          <a:off x="5499100" y="1193800"/>
          <a:ext cx="13462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Q</a:t>
          </a:r>
          <a:r>
            <a:rPr lang="en-GB" sz="1100" b="1" baseline="0"/>
            <a:t>5i-Annuity</a:t>
          </a:r>
          <a:endParaRPr lang="en-GB" sz="1100" b="1"/>
        </a:p>
      </xdr:txBody>
    </xdr:sp>
    <xdr:clientData/>
  </xdr:twoCellAnchor>
  <xdr:twoCellAnchor>
    <xdr:from>
      <xdr:col>2</xdr:col>
      <xdr:colOff>139700</xdr:colOff>
      <xdr:row>6</xdr:row>
      <xdr:rowOff>38100</xdr:rowOff>
    </xdr:from>
    <xdr:to>
      <xdr:col>3</xdr:col>
      <xdr:colOff>406400</xdr:colOff>
      <xdr:row>7</xdr:row>
      <xdr:rowOff>114300</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1EC113C5-5213-EBE3-BD01-16C72F3EB9FF}"/>
            </a:ext>
          </a:extLst>
        </xdr:cNvPr>
        <xdr:cNvSpPr/>
      </xdr:nvSpPr>
      <xdr:spPr>
        <a:xfrm>
          <a:off x="5473700" y="15113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Q5_ii_Bond_Duration</a:t>
          </a:r>
        </a:p>
      </xdr:txBody>
    </xdr:sp>
    <xdr:clientData/>
  </xdr:twoCellAnchor>
  <xdr:twoCellAnchor>
    <xdr:from>
      <xdr:col>2</xdr:col>
      <xdr:colOff>139700</xdr:colOff>
      <xdr:row>8</xdr:row>
      <xdr:rowOff>25400</xdr:rowOff>
    </xdr:from>
    <xdr:to>
      <xdr:col>3</xdr:col>
      <xdr:colOff>406400</xdr:colOff>
      <xdr:row>9</xdr:row>
      <xdr:rowOff>76200</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E9A5DD90-49A9-7145-8218-28BB4FD9F124}"/>
            </a:ext>
          </a:extLst>
        </xdr:cNvPr>
        <xdr:cNvSpPr/>
      </xdr:nvSpPr>
      <xdr:spPr>
        <a:xfrm>
          <a:off x="5473700" y="18542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Q5_iii_YTM</a:t>
          </a:r>
        </a:p>
      </xdr:txBody>
    </xdr:sp>
    <xdr:clientData/>
  </xdr:twoCellAnchor>
  <xdr:twoCellAnchor>
    <xdr:from>
      <xdr:col>2</xdr:col>
      <xdr:colOff>165100</xdr:colOff>
      <xdr:row>12</xdr:row>
      <xdr:rowOff>12700</xdr:rowOff>
    </xdr:from>
    <xdr:to>
      <xdr:col>3</xdr:col>
      <xdr:colOff>431800</xdr:colOff>
      <xdr:row>13</xdr:row>
      <xdr:rowOff>63500</xdr:rowOff>
    </xdr:to>
    <xdr:sp macro="" textlink="">
      <xdr:nvSpPr>
        <xdr:cNvPr id="6" name="Rounded Rectangle 5">
          <a:hlinkClick xmlns:r="http://schemas.openxmlformats.org/officeDocument/2006/relationships" r:id="rId4"/>
          <a:extLst>
            <a:ext uri="{FF2B5EF4-FFF2-40B4-BE49-F238E27FC236}">
              <a16:creationId xmlns:a16="http://schemas.microsoft.com/office/drawing/2014/main" id="{00AEC746-BE59-1B4A-801C-8F1903E90F65}"/>
            </a:ext>
          </a:extLst>
        </xdr:cNvPr>
        <xdr:cNvSpPr/>
      </xdr:nvSpPr>
      <xdr:spPr>
        <a:xfrm>
          <a:off x="5499100" y="26035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Q5_v_TermStructure</a:t>
          </a:r>
        </a:p>
      </xdr:txBody>
    </xdr:sp>
    <xdr:clientData/>
  </xdr:twoCellAnchor>
  <xdr:twoCellAnchor>
    <xdr:from>
      <xdr:col>2</xdr:col>
      <xdr:colOff>165100</xdr:colOff>
      <xdr:row>10</xdr:row>
      <xdr:rowOff>25400</xdr:rowOff>
    </xdr:from>
    <xdr:to>
      <xdr:col>3</xdr:col>
      <xdr:colOff>431800</xdr:colOff>
      <xdr:row>11</xdr:row>
      <xdr:rowOff>76200</xdr:rowOff>
    </xdr:to>
    <xdr:sp macro="" textlink="">
      <xdr:nvSpPr>
        <xdr:cNvPr id="7" name="Rounded Rectangle 6">
          <a:hlinkClick xmlns:r="http://schemas.openxmlformats.org/officeDocument/2006/relationships" r:id="rId5"/>
          <a:extLst>
            <a:ext uri="{FF2B5EF4-FFF2-40B4-BE49-F238E27FC236}">
              <a16:creationId xmlns:a16="http://schemas.microsoft.com/office/drawing/2014/main" id="{7D156D89-1472-ACF6-725D-B90A3DF28385}"/>
            </a:ext>
          </a:extLst>
        </xdr:cNvPr>
        <xdr:cNvSpPr/>
      </xdr:nvSpPr>
      <xdr:spPr>
        <a:xfrm>
          <a:off x="5499100" y="22352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Q5_iv_Mortgage</a:t>
          </a:r>
        </a:p>
      </xdr:txBody>
    </xdr:sp>
    <xdr:clientData/>
  </xdr:twoCellAnchor>
  <xdr:twoCellAnchor>
    <xdr:from>
      <xdr:col>4</xdr:col>
      <xdr:colOff>0</xdr:colOff>
      <xdr:row>5</xdr:row>
      <xdr:rowOff>0</xdr:rowOff>
    </xdr:from>
    <xdr:to>
      <xdr:col>5</xdr:col>
      <xdr:colOff>266700</xdr:colOff>
      <xdr:row>6</xdr:row>
      <xdr:rowOff>50800</xdr:rowOff>
    </xdr:to>
    <xdr:sp macro="" textlink="">
      <xdr:nvSpPr>
        <xdr:cNvPr id="8" name="Rounded Rectangle 7">
          <a:hlinkClick xmlns:r="http://schemas.openxmlformats.org/officeDocument/2006/relationships" r:id="rId6"/>
          <a:extLst>
            <a:ext uri="{FF2B5EF4-FFF2-40B4-BE49-F238E27FC236}">
              <a16:creationId xmlns:a16="http://schemas.microsoft.com/office/drawing/2014/main" id="{C76DAB00-7EA7-D944-AEB7-EA4BF334F3F0}"/>
            </a:ext>
          </a:extLst>
        </xdr:cNvPr>
        <xdr:cNvSpPr/>
      </xdr:nvSpPr>
      <xdr:spPr>
        <a:xfrm>
          <a:off x="7772400" y="12827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Q6_i_Black76</a:t>
          </a:r>
        </a:p>
      </xdr:txBody>
    </xdr:sp>
    <xdr:clientData/>
  </xdr:twoCellAnchor>
  <xdr:twoCellAnchor>
    <xdr:from>
      <xdr:col>4</xdr:col>
      <xdr:colOff>0</xdr:colOff>
      <xdr:row>7</xdr:row>
      <xdr:rowOff>0</xdr:rowOff>
    </xdr:from>
    <xdr:to>
      <xdr:col>5</xdr:col>
      <xdr:colOff>266700</xdr:colOff>
      <xdr:row>8</xdr:row>
      <xdr:rowOff>50800</xdr:rowOff>
    </xdr:to>
    <xdr:sp macro="" textlink="">
      <xdr:nvSpPr>
        <xdr:cNvPr id="9" name="Rounded Rectangle 8">
          <a:hlinkClick xmlns:r="http://schemas.openxmlformats.org/officeDocument/2006/relationships" r:id="rId7"/>
          <a:extLst>
            <a:ext uri="{FF2B5EF4-FFF2-40B4-BE49-F238E27FC236}">
              <a16:creationId xmlns:a16="http://schemas.microsoft.com/office/drawing/2014/main" id="{9490D594-E248-8E4C-99B5-67660C18E819}"/>
            </a:ext>
          </a:extLst>
        </xdr:cNvPr>
        <xdr:cNvSpPr/>
      </xdr:nvSpPr>
      <xdr:spPr>
        <a:xfrm>
          <a:off x="7772400" y="16383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Q6_ii_VaR_CVaR</a:t>
          </a:r>
        </a:p>
      </xdr:txBody>
    </xdr:sp>
    <xdr:clientData/>
  </xdr:twoCellAnchor>
  <xdr:twoCellAnchor>
    <xdr:from>
      <xdr:col>4</xdr:col>
      <xdr:colOff>0</xdr:colOff>
      <xdr:row>9</xdr:row>
      <xdr:rowOff>0</xdr:rowOff>
    </xdr:from>
    <xdr:to>
      <xdr:col>5</xdr:col>
      <xdr:colOff>266700</xdr:colOff>
      <xdr:row>10</xdr:row>
      <xdr:rowOff>50800</xdr:rowOff>
    </xdr:to>
    <xdr:sp macro="" textlink="">
      <xdr:nvSpPr>
        <xdr:cNvPr id="10" name="Rounded Rectangle 9">
          <a:hlinkClick xmlns:r="http://schemas.openxmlformats.org/officeDocument/2006/relationships" r:id="rId8"/>
          <a:extLst>
            <a:ext uri="{FF2B5EF4-FFF2-40B4-BE49-F238E27FC236}">
              <a16:creationId xmlns:a16="http://schemas.microsoft.com/office/drawing/2014/main" id="{19835FCB-3882-4548-B808-6EE90CA75F8F}"/>
            </a:ext>
          </a:extLst>
        </xdr:cNvPr>
        <xdr:cNvSpPr/>
      </xdr:nvSpPr>
      <xdr:spPr>
        <a:xfrm>
          <a:off x="7772400" y="2019300"/>
          <a:ext cx="1485900" cy="241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Q6_iii_ESO</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85725</xdr:colOff>
      <xdr:row>1</xdr:row>
      <xdr:rowOff>28575</xdr:rowOff>
    </xdr:from>
    <xdr:to>
      <xdr:col>12</xdr:col>
      <xdr:colOff>285750</xdr:colOff>
      <xdr:row>15</xdr:row>
      <xdr:rowOff>76200</xdr:rowOff>
    </xdr:to>
    <xdr:graphicFrame macro="">
      <xdr:nvGraphicFramePr>
        <xdr:cNvPr id="4" name="Chart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76200</xdr:colOff>
      <xdr:row>15</xdr:row>
      <xdr:rowOff>114300</xdr:rowOff>
    </xdr:from>
    <xdr:to>
      <xdr:col>12</xdr:col>
      <xdr:colOff>314325</xdr:colOff>
      <xdr:row>29</xdr:row>
      <xdr:rowOff>0</xdr:rowOff>
    </xdr:to>
    <xdr:graphicFrame macro="">
      <xdr:nvGraphicFramePr>
        <xdr:cNvPr id="5" name="Chart 4">
          <a:extLst>
            <a:ext uri="{FF2B5EF4-FFF2-40B4-BE49-F238E27FC236}">
              <a16:creationId xmlns:a16="http://schemas.microsoft.com/office/drawing/2014/main" id="{00000000-0008-0000-0200-000005000000}"/>
            </a:ext>
            <a:ext uri="{147F2762-F138-4A5C-976F-8EAC2B608ADB}">
              <a16:predDERef xmlns:a16="http://schemas.microsoft.com/office/drawing/2014/main" pre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466725</xdr:colOff>
      <xdr:row>1</xdr:row>
      <xdr:rowOff>51315</xdr:rowOff>
    </xdr:from>
    <xdr:to>
      <xdr:col>7</xdr:col>
      <xdr:colOff>678825</xdr:colOff>
      <xdr:row>19</xdr:row>
      <xdr:rowOff>87015</xdr:rowOff>
    </xdr:to>
    <xdr:graphicFrame macro="">
      <xdr:nvGraphicFramePr>
        <xdr:cNvPr id="6" name="Chart 3">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19050</xdr:colOff>
      <xdr:row>10</xdr:row>
      <xdr:rowOff>117990</xdr:rowOff>
    </xdr:from>
    <xdr:to>
      <xdr:col>21</xdr:col>
      <xdr:colOff>309045</xdr:colOff>
      <xdr:row>29</xdr:row>
      <xdr:rowOff>1290</xdr:rowOff>
    </xdr:to>
    <xdr:graphicFrame macro="">
      <xdr:nvGraphicFramePr>
        <xdr:cNvPr id="7" name="Chart 4">
          <a:extLst>
            <a:ext uri="{FF2B5EF4-FFF2-40B4-BE49-F238E27FC236}">
              <a16:creationId xmlns:a16="http://schemas.microsoft.com/office/drawing/2014/main" id="{00000000-0008-0000-0300-000007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57150</xdr:colOff>
      <xdr:row>0</xdr:row>
      <xdr:rowOff>228600</xdr:rowOff>
    </xdr:from>
    <xdr:to>
      <xdr:col>20</xdr:col>
      <xdr:colOff>495300</xdr:colOff>
      <xdr:row>2</xdr:row>
      <xdr:rowOff>142875</xdr:rowOff>
    </xdr:to>
    <xdr:sp macro="" textlink="">
      <xdr:nvSpPr>
        <xdr:cNvPr id="8" name="TextBox 7">
          <a:extLst>
            <a:ext uri="{FF2B5EF4-FFF2-40B4-BE49-F238E27FC236}">
              <a16:creationId xmlns:a16="http://schemas.microsoft.com/office/drawing/2014/main" id="{87A375A5-08BD-842C-5A1B-94333490DA0D}"/>
            </a:ext>
            <a:ext uri="{147F2762-F138-4A5C-976F-8EAC2B608ADB}">
              <a16:predDERef xmlns:a16="http://schemas.microsoft.com/office/drawing/2014/main" pred="{00000000-0008-0000-0300-000007000000}"/>
            </a:ext>
          </a:extLst>
        </xdr:cNvPr>
        <xdr:cNvSpPr txBox="1"/>
      </xdr:nvSpPr>
      <xdr:spPr>
        <a:xfrm>
          <a:off x="14268450" y="228600"/>
          <a:ext cx="4333875" cy="409575"/>
        </a:xfrm>
        <a:prstGeom prst="rect">
          <a:avLst/>
        </a:prstGeom>
        <a:solidFill>
          <a:schemeClr val="lt1"/>
        </a:solid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400" b="1">
              <a:latin typeface="Times New Roman" panose="02020603050405020304" pitchFamily="18" charset="0"/>
              <a:cs typeface="Times New Roman" panose="02020603050405020304" pitchFamily="18" charset="0"/>
            </a:rPr>
            <a:t>Hopewell &amp; Kaufman (1973) Duration Replication Table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28575</xdr:colOff>
      <xdr:row>14</xdr:row>
      <xdr:rowOff>38100</xdr:rowOff>
    </xdr:from>
    <xdr:to>
      <xdr:col>11</xdr:col>
      <xdr:colOff>333375</xdr:colOff>
      <xdr:row>31</xdr:row>
      <xdr:rowOff>161925</xdr:rowOff>
    </xdr:to>
    <xdr:graphicFrame macro="">
      <xdr:nvGraphicFramePr>
        <xdr:cNvPr id="8" name="Chart 1">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904875</xdr:colOff>
      <xdr:row>13</xdr:row>
      <xdr:rowOff>13335</xdr:rowOff>
    </xdr:from>
    <xdr:to>
      <xdr:col>13</xdr:col>
      <xdr:colOff>278505</xdr:colOff>
      <xdr:row>31</xdr:row>
      <xdr:rowOff>113475</xdr:rowOff>
    </xdr:to>
    <xdr:graphicFrame macro="">
      <xdr:nvGraphicFramePr>
        <xdr:cNvPr id="11" name="Chart 3">
          <a:extLst>
            <a:ext uri="{FF2B5EF4-FFF2-40B4-BE49-F238E27FC236}">
              <a16:creationId xmlns:a16="http://schemas.microsoft.com/office/drawing/2014/main" id="{00000000-0008-0000-0500-00000B000000}"/>
            </a:ext>
            <a:ext uri="{147F2762-F138-4A5C-976F-8EAC2B608ADB}">
              <a16:predDERef xmlns:a16="http://schemas.microsoft.com/office/drawing/2014/main" pre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876300</xdr:colOff>
      <xdr:row>31</xdr:row>
      <xdr:rowOff>171450</xdr:rowOff>
    </xdr:from>
    <xdr:to>
      <xdr:col>13</xdr:col>
      <xdr:colOff>352425</xdr:colOff>
      <xdr:row>50</xdr:row>
      <xdr:rowOff>66675</xdr:rowOff>
    </xdr:to>
    <xdr:graphicFrame macro="">
      <xdr:nvGraphicFramePr>
        <xdr:cNvPr id="12" name="Chart 4">
          <a:extLst>
            <a:ext uri="{FF2B5EF4-FFF2-40B4-BE49-F238E27FC236}">
              <a16:creationId xmlns:a16="http://schemas.microsoft.com/office/drawing/2014/main" id="{00000000-0008-0000-0500-00000C000000}"/>
            </a:ext>
            <a:ext uri="{147F2762-F138-4A5C-976F-8EAC2B608ADB}">
              <a16:predDERef xmlns:a16="http://schemas.microsoft.com/office/drawing/2014/main" pre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333375</xdr:colOff>
      <xdr:row>1</xdr:row>
      <xdr:rowOff>85725</xdr:rowOff>
    </xdr:from>
    <xdr:to>
      <xdr:col>8</xdr:col>
      <xdr:colOff>861855</xdr:colOff>
      <xdr:row>19</xdr:row>
      <xdr:rowOff>151635</xdr:rowOff>
    </xdr:to>
    <xdr:graphicFrame macro="">
      <xdr:nvGraphicFramePr>
        <xdr:cNvPr id="14" name="Chart 2">
          <a:extLst>
            <a:ext uri="{FF2B5EF4-FFF2-40B4-BE49-F238E27FC236}">
              <a16:creationId xmlns:a16="http://schemas.microsoft.com/office/drawing/2014/main" id="{00000000-0008-0000-0600-00000E000000}"/>
            </a:ext>
            <a:ext uri="{147F2762-F138-4A5C-976F-8EAC2B608ADB}">
              <a16:predDERef xmlns:a16="http://schemas.microsoft.com/office/drawing/2014/main" pre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2114550</xdr:colOff>
      <xdr:row>0</xdr:row>
      <xdr:rowOff>0</xdr:rowOff>
    </xdr:from>
    <xdr:to>
      <xdr:col>18</xdr:col>
      <xdr:colOff>486480</xdr:colOff>
      <xdr:row>18</xdr:row>
      <xdr:rowOff>1260</xdr:rowOff>
    </xdr:to>
    <xdr:graphicFrame macro="">
      <xdr:nvGraphicFramePr>
        <xdr:cNvPr id="17" name="Chart 3">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2105025</xdr:colOff>
      <xdr:row>18</xdr:row>
      <xdr:rowOff>66675</xdr:rowOff>
    </xdr:from>
    <xdr:to>
      <xdr:col>18</xdr:col>
      <xdr:colOff>476955</xdr:colOff>
      <xdr:row>37</xdr:row>
      <xdr:rowOff>29895</xdr:rowOff>
    </xdr:to>
    <xdr:graphicFrame macro="">
      <xdr:nvGraphicFramePr>
        <xdr:cNvPr id="18" name="Chart 4">
          <a:extLst>
            <a:ext uri="{FF2B5EF4-FFF2-40B4-BE49-F238E27FC236}">
              <a16:creationId xmlns:a16="http://schemas.microsoft.com/office/drawing/2014/main" id="{00000000-0008-0000-0700-000012000000}"/>
            </a:ext>
            <a:ext uri="{147F2762-F138-4A5C-976F-8EAC2B608ADB}">
              <a16:predDERef xmlns:a16="http://schemas.microsoft.com/office/drawing/2014/main" pre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266700</xdr:colOff>
      <xdr:row>3</xdr:row>
      <xdr:rowOff>19050</xdr:rowOff>
    </xdr:from>
    <xdr:to>
      <xdr:col>18</xdr:col>
      <xdr:colOff>571500</xdr:colOff>
      <xdr:row>17</xdr:row>
      <xdr:rowOff>95250</xdr:rowOff>
    </xdr:to>
    <xdr:graphicFrame macro="">
      <xdr:nvGraphicFramePr>
        <xdr:cNvPr id="2" name="Chart 1">
          <a:extLst>
            <a:ext uri="{FF2B5EF4-FFF2-40B4-BE49-F238E27FC236}">
              <a16:creationId xmlns:a16="http://schemas.microsoft.com/office/drawing/2014/main" id="{FB330ADF-FCC8-A168-CC80-F67606C2DF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95250</xdr:colOff>
      <xdr:row>2</xdr:row>
      <xdr:rowOff>28575</xdr:rowOff>
    </xdr:from>
    <xdr:to>
      <xdr:col>22</xdr:col>
      <xdr:colOff>238125</xdr:colOff>
      <xdr:row>21</xdr:row>
      <xdr:rowOff>152400</xdr:rowOff>
    </xdr:to>
    <xdr:graphicFrame macro="">
      <xdr:nvGraphicFramePr>
        <xdr:cNvPr id="19" name="Chart 1">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66675</xdr:colOff>
      <xdr:row>15</xdr:row>
      <xdr:rowOff>51435</xdr:rowOff>
    </xdr:from>
    <xdr:to>
      <xdr:col>10</xdr:col>
      <xdr:colOff>172155</xdr:colOff>
      <xdr:row>33</xdr:row>
      <xdr:rowOff>117375</xdr:rowOff>
    </xdr:to>
    <xdr:graphicFrame macro="">
      <xdr:nvGraphicFramePr>
        <xdr:cNvPr id="26" name="Chart 3">
          <a:extLst>
            <a:ext uri="{FF2B5EF4-FFF2-40B4-BE49-F238E27FC236}">
              <a16:creationId xmlns:a16="http://schemas.microsoft.com/office/drawing/2014/main" id="{00000000-0008-0000-0A00-00001A000000}"/>
            </a:ext>
            <a:ext uri="{147F2762-F138-4A5C-976F-8EAC2B608ADB}">
              <a16:predDERef xmlns:a16="http://schemas.microsoft.com/office/drawing/2014/main" pred="{00000000-0008-0000-0A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219075</xdr:colOff>
      <xdr:row>15</xdr:row>
      <xdr:rowOff>51435</xdr:rowOff>
    </xdr:from>
    <xdr:to>
      <xdr:col>14</xdr:col>
      <xdr:colOff>326160</xdr:colOff>
      <xdr:row>33</xdr:row>
      <xdr:rowOff>117375</xdr:rowOff>
    </xdr:to>
    <xdr:graphicFrame macro="">
      <xdr:nvGraphicFramePr>
        <xdr:cNvPr id="27" name="Chart 4">
          <a:extLst>
            <a:ext uri="{FF2B5EF4-FFF2-40B4-BE49-F238E27FC236}">
              <a16:creationId xmlns:a16="http://schemas.microsoft.com/office/drawing/2014/main" id="{00000000-0008-0000-0A00-00001B000000}"/>
            </a:ext>
            <a:ext uri="{147F2762-F138-4A5C-976F-8EAC2B608ADB}">
              <a16:predDERef xmlns:a16="http://schemas.microsoft.com/office/drawing/2014/main" pre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409575</xdr:colOff>
      <xdr:row>0</xdr:row>
      <xdr:rowOff>62835</xdr:rowOff>
    </xdr:from>
    <xdr:to>
      <xdr:col>22</xdr:col>
      <xdr:colOff>305505</xdr:colOff>
      <xdr:row>18</xdr:row>
      <xdr:rowOff>79275</xdr:rowOff>
    </xdr:to>
    <xdr:graphicFrame macro="">
      <xdr:nvGraphicFramePr>
        <xdr:cNvPr id="28" name="Chart 5">
          <a:extLst>
            <a:ext uri="{FF2B5EF4-FFF2-40B4-BE49-F238E27FC236}">
              <a16:creationId xmlns:a16="http://schemas.microsoft.com/office/drawing/2014/main" id="{00000000-0008-0000-0A00-00001C000000}"/>
            </a:ext>
            <a:ext uri="{147F2762-F138-4A5C-976F-8EAC2B608ADB}">
              <a16:predDERef xmlns:a16="http://schemas.microsoft.com/office/drawing/2014/main" pred="{00000000-0008-0000-0A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a:fillStyleLst>
        <a:solidFill>
          <a:schemeClr val="phClr"/>
        </a:solidFill>
        <a:solidFill>
          <a:schemeClr val="dk1"/>
        </a:solidFill>
        <a:solidFill>
          <a:schemeClr val="accent1"/>
        </a:solidFill>
      </a:fillStyleLst>
      <a:lnStyleLst>
        <a:ln w="9525">
          <a:prstDash val="solid"/>
        </a:ln>
        <a:ln w="25400">
          <a:prstDash val="solid"/>
        </a:ln>
        <a:ln w="38100">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olab.research.google.com/drive/1ph-srD_SSh0IHcCb2dU959q5xbE8aj9T"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colab.research.google.com/drive/1ph-srD_SSh0IHcCb2dU959q5xbE8aj9T"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5"/>
  <sheetViews>
    <sheetView showGridLines="0" tabSelected="1" zoomScaleNormal="100" workbookViewId="0">
      <selection activeCell="E21" sqref="E21"/>
    </sheetView>
  </sheetViews>
  <sheetFormatPr baseColWidth="10" defaultColWidth="9.1640625" defaultRowHeight="14" x14ac:dyDescent="0.15"/>
  <cols>
    <col min="1" max="1" width="28" style="1" customWidth="1"/>
    <col min="2" max="2" width="42" style="1" customWidth="1"/>
    <col min="3" max="5" width="16" style="1" customWidth="1"/>
    <col min="6" max="7" width="18" style="1" customWidth="1"/>
    <col min="8" max="8" width="20" style="1" customWidth="1"/>
    <col min="9" max="16384" width="9.1640625" style="1"/>
  </cols>
  <sheetData>
    <row r="1" spans="1:9" ht="24" customHeight="1" x14ac:dyDescent="0.15">
      <c r="A1" s="108" t="s">
        <v>229</v>
      </c>
      <c r="B1" s="108"/>
      <c r="C1" s="108"/>
      <c r="D1" s="108"/>
      <c r="E1" s="108"/>
      <c r="F1" s="108"/>
      <c r="G1" s="108"/>
      <c r="H1" s="108"/>
    </row>
    <row r="2" spans="1:9" ht="15" x14ac:dyDescent="0.15">
      <c r="A2" s="2"/>
      <c r="B2" s="2"/>
      <c r="C2" s="2"/>
      <c r="D2" s="112" t="s">
        <v>228</v>
      </c>
      <c r="E2" s="2"/>
      <c r="F2" s="2"/>
      <c r="G2" s="2"/>
      <c r="H2" s="2"/>
    </row>
    <row r="3" spans="1:9" ht="33.75" customHeight="1" x14ac:dyDescent="0.15">
      <c r="A3" s="3" t="s">
        <v>0</v>
      </c>
      <c r="B3" s="4" t="s">
        <v>230</v>
      </c>
      <c r="C3" s="2"/>
      <c r="D3" s="2"/>
      <c r="E3" s="114"/>
      <c r="F3" s="114"/>
      <c r="G3" s="114"/>
      <c r="H3" s="114"/>
    </row>
    <row r="4" spans="1:9" x14ac:dyDescent="0.15">
      <c r="A4" s="2"/>
      <c r="B4" s="2"/>
      <c r="C4" s="2"/>
      <c r="D4" s="2"/>
      <c r="E4" s="114"/>
      <c r="F4" s="114"/>
      <c r="G4" s="114"/>
      <c r="H4" s="114"/>
    </row>
    <row r="5" spans="1:9" ht="16.5" customHeight="1" x14ac:dyDescent="0.15">
      <c r="A5" s="5" t="s">
        <v>1</v>
      </c>
      <c r="B5" s="2"/>
      <c r="C5" s="2"/>
      <c r="D5" s="2"/>
      <c r="E5" s="114"/>
      <c r="F5" s="114"/>
      <c r="G5" s="114"/>
      <c r="H5" s="114"/>
    </row>
    <row r="6" spans="1:9" ht="15" x14ac:dyDescent="0.15">
      <c r="A6" s="113" t="s">
        <v>2</v>
      </c>
      <c r="B6" s="7" t="s">
        <v>3</v>
      </c>
      <c r="C6" s="2"/>
      <c r="D6" s="2"/>
      <c r="E6" s="117"/>
      <c r="F6" s="117"/>
      <c r="G6" s="117"/>
      <c r="H6" s="117"/>
    </row>
    <row r="7" spans="1:9" ht="13.5" customHeight="1" x14ac:dyDescent="0.15">
      <c r="A7" s="113" t="s">
        <v>4</v>
      </c>
      <c r="B7" s="7" t="s">
        <v>5</v>
      </c>
      <c r="C7" s="2"/>
      <c r="D7" s="2"/>
      <c r="E7" s="116"/>
      <c r="F7" s="116"/>
      <c r="G7" s="116"/>
      <c r="H7" s="116"/>
    </row>
    <row r="8" spans="1:9" ht="15" x14ac:dyDescent="0.15">
      <c r="A8" s="113" t="s">
        <v>6</v>
      </c>
      <c r="B8" s="7" t="s">
        <v>7</v>
      </c>
      <c r="C8" s="2"/>
      <c r="D8" s="2"/>
      <c r="E8" s="116"/>
      <c r="F8" s="116"/>
      <c r="G8" s="116"/>
      <c r="H8" s="116"/>
    </row>
    <row r="9" spans="1:9" ht="15" x14ac:dyDescent="0.15">
      <c r="A9" s="113" t="s">
        <v>8</v>
      </c>
      <c r="B9" s="7" t="s">
        <v>9</v>
      </c>
      <c r="C9" s="2"/>
      <c r="D9" s="2"/>
      <c r="E9" s="116"/>
      <c r="F9" s="116"/>
      <c r="G9" s="116"/>
      <c r="H9" s="116"/>
    </row>
    <row r="10" spans="1:9" ht="15" x14ac:dyDescent="0.15">
      <c r="A10" s="113" t="s">
        <v>10</v>
      </c>
      <c r="B10" s="7" t="s">
        <v>11</v>
      </c>
      <c r="C10" s="2"/>
      <c r="D10" s="2"/>
      <c r="E10" s="116"/>
      <c r="F10" s="116"/>
      <c r="G10" s="116"/>
      <c r="H10" s="116"/>
    </row>
    <row r="11" spans="1:9" ht="15" x14ac:dyDescent="0.15">
      <c r="A11" s="113" t="s">
        <v>12</v>
      </c>
      <c r="B11" s="7" t="s">
        <v>13</v>
      </c>
      <c r="C11" s="2"/>
      <c r="D11" s="2"/>
      <c r="E11" s="116"/>
      <c r="F11" s="116"/>
      <c r="G11" s="116"/>
      <c r="H11" s="116"/>
    </row>
    <row r="12" spans="1:9" ht="15" x14ac:dyDescent="0.15">
      <c r="A12" s="113" t="s">
        <v>14</v>
      </c>
      <c r="B12" s="7" t="s">
        <v>15</v>
      </c>
      <c r="C12" s="2"/>
      <c r="D12" s="2"/>
      <c r="E12" s="116"/>
      <c r="F12" s="116"/>
      <c r="G12" s="116"/>
      <c r="H12" s="116"/>
      <c r="I12" s="115"/>
    </row>
    <row r="13" spans="1:9" ht="15" x14ac:dyDescent="0.15">
      <c r="A13" s="113" t="s">
        <v>16</v>
      </c>
      <c r="B13" s="7" t="s">
        <v>17</v>
      </c>
      <c r="C13" s="2"/>
      <c r="D13" s="2"/>
      <c r="E13" s="114"/>
      <c r="F13" s="114"/>
      <c r="G13" s="114"/>
      <c r="H13" s="114"/>
      <c r="I13" s="115"/>
    </row>
    <row r="14" spans="1:9" ht="15" x14ac:dyDescent="0.15">
      <c r="A14" s="113" t="s">
        <v>18</v>
      </c>
      <c r="B14" s="7" t="s">
        <v>19</v>
      </c>
      <c r="C14" s="2"/>
      <c r="D14" s="2"/>
      <c r="E14" s="114"/>
      <c r="F14" s="114"/>
      <c r="G14" s="114"/>
      <c r="H14" s="114"/>
      <c r="I14" s="115"/>
    </row>
    <row r="15" spans="1:9" x14ac:dyDescent="0.15">
      <c r="A15" s="2"/>
      <c r="B15" s="2"/>
      <c r="C15" s="2"/>
      <c r="D15" s="2"/>
      <c r="E15" s="114"/>
      <c r="F15" s="114"/>
      <c r="G15" s="114"/>
      <c r="H15" s="114"/>
      <c r="I15" s="115"/>
    </row>
    <row r="16" spans="1:9" x14ac:dyDescent="0.15">
      <c r="A16" s="3" t="s">
        <v>20</v>
      </c>
      <c r="B16" s="3" t="s">
        <v>21</v>
      </c>
      <c r="C16" s="3" t="s">
        <v>22</v>
      </c>
      <c r="D16" s="2"/>
      <c r="E16" s="114"/>
      <c r="F16" s="114"/>
      <c r="G16" s="114"/>
      <c r="H16" s="114"/>
      <c r="I16" s="115"/>
    </row>
    <row r="17" spans="1:9" x14ac:dyDescent="0.15">
      <c r="A17" s="8" t="s">
        <v>23</v>
      </c>
      <c r="B17" s="9"/>
      <c r="C17" s="10">
        <f>Q5_i_Annuity!B16</f>
        <v>41658.670749274177</v>
      </c>
      <c r="E17" s="115"/>
      <c r="F17" s="115"/>
      <c r="G17" s="115"/>
      <c r="H17" s="115"/>
      <c r="I17" s="115"/>
    </row>
    <row r="18" spans="1:9" x14ac:dyDescent="0.15">
      <c r="A18" s="8" t="s">
        <v>24</v>
      </c>
      <c r="B18" s="9"/>
      <c r="C18" s="10">
        <f>Q5_ii_Bond_Duration!B15</f>
        <v>977.5610860430711</v>
      </c>
      <c r="E18" s="115"/>
      <c r="F18" s="115"/>
      <c r="G18" s="115"/>
      <c r="H18" s="115"/>
      <c r="I18" s="115"/>
    </row>
    <row r="19" spans="1:9" x14ac:dyDescent="0.15">
      <c r="A19" s="8" t="s">
        <v>25</v>
      </c>
      <c r="B19" s="9"/>
      <c r="C19" s="10">
        <f>Q5_ii_Bond_Duration!B16</f>
        <v>5.8359863494491258</v>
      </c>
      <c r="E19" s="115"/>
      <c r="F19" s="115"/>
      <c r="G19" s="115"/>
      <c r="H19" s="115"/>
      <c r="I19" s="115"/>
    </row>
    <row r="20" spans="1:9" x14ac:dyDescent="0.15">
      <c r="A20" s="8" t="s">
        <v>26</v>
      </c>
      <c r="B20" s="9"/>
      <c r="C20" s="10">
        <f>Q5_iii_YTM!B15</f>
        <v>5.1741943359374994E-2</v>
      </c>
      <c r="E20" s="115"/>
      <c r="F20" s="115"/>
      <c r="G20" s="115"/>
      <c r="H20" s="115"/>
      <c r="I20" s="115"/>
    </row>
    <row r="21" spans="1:9" x14ac:dyDescent="0.15">
      <c r="A21" s="8" t="s">
        <v>27</v>
      </c>
      <c r="B21" s="9"/>
      <c r="C21" s="10">
        <f>Q5_iv_Mortgage!B13</f>
        <v>1890.6754069781277</v>
      </c>
      <c r="E21" s="115"/>
      <c r="F21" s="115"/>
      <c r="G21" s="115"/>
      <c r="H21" s="115"/>
      <c r="I21" s="115"/>
    </row>
    <row r="22" spans="1:9" x14ac:dyDescent="0.15">
      <c r="A22" s="8" t="s">
        <v>28</v>
      </c>
      <c r="B22" s="9"/>
      <c r="C22" s="10">
        <f>Q5_v_TermStructure!C13</f>
        <v>4.2250954271742289E-2</v>
      </c>
      <c r="E22" s="115"/>
      <c r="F22" s="115"/>
      <c r="G22" s="115"/>
      <c r="H22" s="115"/>
      <c r="I22" s="115"/>
    </row>
    <row r="23" spans="1:9" x14ac:dyDescent="0.15">
      <c r="A23" s="8" t="s">
        <v>29</v>
      </c>
      <c r="B23" s="9"/>
      <c r="C23" s="10">
        <f>Q6_i_Black76!B18</f>
        <v>6.7652222473723063</v>
      </c>
    </row>
    <row r="24" spans="1:9" x14ac:dyDescent="0.15">
      <c r="A24" s="8" t="s">
        <v>30</v>
      </c>
      <c r="B24" s="9"/>
      <c r="C24" s="10">
        <f>Q6_ii_VaR_CVaR!E24</f>
        <v>317773.13871001988</v>
      </c>
    </row>
    <row r="25" spans="1:9" x14ac:dyDescent="0.15">
      <c r="A25" s="8" t="s">
        <v>31</v>
      </c>
      <c r="B25" s="9"/>
      <c r="C25" s="10">
        <f>Q6_iii_ESO!B19</f>
        <v>13.765893213114525</v>
      </c>
    </row>
  </sheetData>
  <mergeCells count="1">
    <mergeCell ref="A1:H1"/>
  </mergeCells>
  <hyperlinks>
    <hyperlink ref="D2" r:id="rId1" xr:uid="{42A6636E-28D1-6F49-9368-D249FC9D9C7D}"/>
    <hyperlink ref="A6" location="Q5_i_Annuity!A1" display="Q5_i_Annuity" xr:uid="{F195FF55-0996-A44A-8712-89380444D238}"/>
    <hyperlink ref="A7" location="Q5_ii_Bond_Duration!A1" display="Q5_ii_Bond_Duration" xr:uid="{EC535F37-ABFC-E54E-9B5B-D7B4B1D66263}"/>
    <hyperlink ref="A8" location="Q5_iii_YTM!A1" display="Q5_iii_YTM" xr:uid="{592E4D6D-8993-E143-80CE-F2C851342B7B}"/>
    <hyperlink ref="A9" location="Q5_iv_Mortgage!A1" display="Q5_iv_Mortgage" xr:uid="{76E3180F-4BA3-2D4F-8679-CBF65DADA18E}"/>
    <hyperlink ref="A10" location="Q5_v_TermStructure!A1" display="Q5_v_TermStructure" xr:uid="{4F1E5620-D4B3-F94F-8366-AA822B91B4D5}"/>
    <hyperlink ref="A11" location="Q6_i_Black76!A1" display="Q6_i_Black76" xr:uid="{E9264BED-4919-F843-94CE-E31E4197098C}"/>
    <hyperlink ref="A12" location="Q6_ii_VaR_CVaR!A1" display="Q6_ii_VaR_CVaR" xr:uid="{63D25B1E-2DE5-E546-ACBE-A00720892FE9}"/>
    <hyperlink ref="A13" location="Q6_iii_ESO!A1" display="Q6_iii_ESO" xr:uid="{57851FD0-D009-2F49-9798-A51826DC78E7}"/>
    <hyperlink ref="A14" location="Colab_Links!A1" display="Colab_Links" xr:uid="{435EBD2B-1AB6-764E-A83A-446998E16C1D}"/>
  </hyperlinks>
  <pageMargins left="0.7" right="0.7" top="0.75" bottom="0.75" header="0.511811023622047" footer="0.511811023622047"/>
  <pageSetup paperSize="9" orientation="portrait" horizontalDpi="300" verticalDpi="30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9"/>
  <sheetViews>
    <sheetView showGridLines="0" zoomScaleNormal="100" workbookViewId="0">
      <selection activeCell="C5" sqref="C5"/>
    </sheetView>
  </sheetViews>
  <sheetFormatPr baseColWidth="10" defaultColWidth="9.1640625" defaultRowHeight="14" x14ac:dyDescent="0.15"/>
  <cols>
    <col min="1" max="1" width="14" style="1" customWidth="1"/>
    <col min="2" max="2" width="22" style="1" customWidth="1"/>
    <col min="3" max="3" width="55" style="1" customWidth="1"/>
    <col min="4" max="5" width="38" style="1" customWidth="1"/>
    <col min="6" max="7" width="16" style="1" customWidth="1"/>
    <col min="8" max="8" width="28" style="1" customWidth="1"/>
    <col min="9" max="16384" width="9.1640625" style="1"/>
  </cols>
  <sheetData>
    <row r="1" spans="1:8" ht="24" customHeight="1" x14ac:dyDescent="0.15">
      <c r="A1" s="109" t="s">
        <v>32</v>
      </c>
      <c r="B1" s="109"/>
      <c r="C1" s="109"/>
      <c r="D1" s="109"/>
      <c r="E1" s="109"/>
      <c r="F1" s="109"/>
      <c r="G1" s="109"/>
      <c r="H1" s="109"/>
    </row>
    <row r="2" spans="1:8" x14ac:dyDescent="0.15">
      <c r="A2" s="2"/>
      <c r="B2" s="2"/>
      <c r="C2" s="2"/>
      <c r="D2" s="2"/>
      <c r="E2" s="2"/>
      <c r="F2" s="2"/>
      <c r="G2" s="2"/>
      <c r="H2" s="2"/>
    </row>
    <row r="3" spans="1:8" x14ac:dyDescent="0.15">
      <c r="A3" s="3" t="s">
        <v>33</v>
      </c>
      <c r="B3" s="3" t="s">
        <v>34</v>
      </c>
      <c r="C3" s="3" t="s">
        <v>35</v>
      </c>
      <c r="D3" s="3" t="s">
        <v>36</v>
      </c>
      <c r="E3" s="3" t="s">
        <v>37</v>
      </c>
      <c r="F3" s="3" t="s">
        <v>38</v>
      </c>
      <c r="G3" s="2"/>
      <c r="H3" s="2"/>
    </row>
    <row r="4" spans="1:8" x14ac:dyDescent="0.15">
      <c r="A4" s="11" t="s">
        <v>39</v>
      </c>
      <c r="B4" s="6" t="s">
        <v>2</v>
      </c>
      <c r="C4" s="12" t="s">
        <v>228</v>
      </c>
      <c r="D4" s="13"/>
      <c r="E4" s="11" t="s">
        <v>40</v>
      </c>
      <c r="F4" s="11" t="s">
        <v>41</v>
      </c>
      <c r="G4" s="2"/>
      <c r="H4" s="2"/>
    </row>
    <row r="5" spans="1:8" ht="15" x14ac:dyDescent="0.15">
      <c r="A5" s="11" t="s">
        <v>42</v>
      </c>
      <c r="B5" s="6" t="s">
        <v>4</v>
      </c>
      <c r="C5" s="112" t="s">
        <v>228</v>
      </c>
      <c r="D5" s="13"/>
      <c r="E5" s="11" t="s">
        <v>43</v>
      </c>
      <c r="F5" s="11" t="s">
        <v>41</v>
      </c>
      <c r="G5" s="2"/>
      <c r="H5" s="2"/>
    </row>
    <row r="6" spans="1:8" x14ac:dyDescent="0.15">
      <c r="A6" s="11" t="s">
        <v>44</v>
      </c>
      <c r="B6" s="6" t="s">
        <v>6</v>
      </c>
      <c r="C6" s="12" t="s">
        <v>228</v>
      </c>
      <c r="D6" s="13"/>
      <c r="E6" s="11" t="s">
        <v>45</v>
      </c>
      <c r="F6" s="11" t="s">
        <v>41</v>
      </c>
      <c r="G6" s="2"/>
      <c r="H6" s="2"/>
    </row>
    <row r="7" spans="1:8" x14ac:dyDescent="0.15">
      <c r="A7" s="11" t="s">
        <v>46</v>
      </c>
      <c r="B7" s="6" t="s">
        <v>8</v>
      </c>
      <c r="C7" s="12" t="s">
        <v>228</v>
      </c>
      <c r="D7" s="13"/>
      <c r="E7" s="11" t="s">
        <v>47</v>
      </c>
      <c r="F7" s="11" t="s">
        <v>41</v>
      </c>
      <c r="G7" s="2"/>
      <c r="H7" s="2"/>
    </row>
    <row r="8" spans="1:8" x14ac:dyDescent="0.15">
      <c r="A8" s="11" t="s">
        <v>48</v>
      </c>
      <c r="B8" s="6" t="s">
        <v>10</v>
      </c>
      <c r="C8" s="12" t="s">
        <v>228</v>
      </c>
      <c r="D8" s="13"/>
      <c r="E8" s="11" t="s">
        <v>49</v>
      </c>
      <c r="F8" s="11" t="s">
        <v>41</v>
      </c>
      <c r="G8" s="2"/>
      <c r="H8" s="2"/>
    </row>
    <row r="9" spans="1:8" x14ac:dyDescent="0.15">
      <c r="A9" s="11" t="s">
        <v>50</v>
      </c>
      <c r="B9" s="6" t="s">
        <v>12</v>
      </c>
      <c r="C9" s="12" t="s">
        <v>228</v>
      </c>
      <c r="D9" s="13"/>
      <c r="E9" s="11" t="s">
        <v>51</v>
      </c>
      <c r="F9" s="11" t="s">
        <v>41</v>
      </c>
      <c r="G9" s="2"/>
      <c r="H9" s="2"/>
    </row>
    <row r="10" spans="1:8" x14ac:dyDescent="0.15">
      <c r="A10" s="11" t="s">
        <v>52</v>
      </c>
      <c r="B10" s="6" t="s">
        <v>14</v>
      </c>
      <c r="C10" s="12" t="s">
        <v>228</v>
      </c>
      <c r="D10" s="13"/>
      <c r="E10" s="11" t="s">
        <v>53</v>
      </c>
      <c r="F10" s="11" t="s">
        <v>41</v>
      </c>
      <c r="G10" s="2"/>
      <c r="H10" s="2"/>
    </row>
    <row r="11" spans="1:8" x14ac:dyDescent="0.15">
      <c r="A11" s="11" t="s">
        <v>54</v>
      </c>
      <c r="B11" s="6" t="s">
        <v>16</v>
      </c>
      <c r="C11" s="12" t="s">
        <v>228</v>
      </c>
      <c r="D11" s="13"/>
      <c r="E11" s="11" t="s">
        <v>55</v>
      </c>
      <c r="F11" s="11" t="s">
        <v>41</v>
      </c>
      <c r="G11" s="2"/>
      <c r="H11" s="2"/>
    </row>
    <row r="12" spans="1:8" x14ac:dyDescent="0.15">
      <c r="A12" s="2"/>
      <c r="B12" s="2"/>
      <c r="C12" s="2"/>
      <c r="D12" s="2"/>
      <c r="E12" s="2"/>
      <c r="F12" s="2"/>
      <c r="G12" s="2"/>
      <c r="H12" s="2"/>
    </row>
    <row r="13" spans="1:8" x14ac:dyDescent="0.15">
      <c r="A13" s="2"/>
      <c r="B13" s="2"/>
      <c r="C13" s="2"/>
      <c r="D13" s="2"/>
      <c r="E13" s="2"/>
      <c r="F13" s="2"/>
      <c r="G13" s="2"/>
      <c r="H13" s="2"/>
    </row>
    <row r="14" spans="1:8" x14ac:dyDescent="0.15">
      <c r="A14" s="110"/>
      <c r="B14" s="110"/>
      <c r="C14" s="110"/>
      <c r="D14" s="110"/>
      <c r="E14" s="110"/>
      <c r="F14" s="110"/>
      <c r="G14" s="110"/>
      <c r="H14" s="110"/>
    </row>
    <row r="15" spans="1:8" ht="13.5" customHeight="1" x14ac:dyDescent="0.15">
      <c r="A15" s="111"/>
      <c r="B15" s="111"/>
      <c r="C15" s="111"/>
      <c r="D15" s="111"/>
      <c r="E15" s="111"/>
      <c r="F15" s="111"/>
      <c r="G15" s="111"/>
      <c r="H15" s="111"/>
    </row>
    <row r="16" spans="1:8" x14ac:dyDescent="0.15">
      <c r="A16" s="111"/>
      <c r="B16" s="111"/>
      <c r="C16" s="111"/>
      <c r="D16" s="111"/>
      <c r="E16" s="111"/>
      <c r="F16" s="111"/>
      <c r="G16" s="111"/>
      <c r="H16" s="111"/>
    </row>
    <row r="17" spans="1:8" x14ac:dyDescent="0.15">
      <c r="A17" s="111"/>
      <c r="B17" s="111"/>
      <c r="C17" s="111"/>
      <c r="D17" s="111"/>
      <c r="E17" s="111"/>
      <c r="F17" s="111"/>
      <c r="G17" s="111"/>
      <c r="H17" s="111"/>
    </row>
    <row r="18" spans="1:8" x14ac:dyDescent="0.15">
      <c r="A18" s="111"/>
      <c r="B18" s="111"/>
      <c r="C18" s="111"/>
      <c r="D18" s="111"/>
      <c r="E18" s="111"/>
      <c r="F18" s="111"/>
      <c r="G18" s="111"/>
      <c r="H18" s="111"/>
    </row>
    <row r="19" spans="1:8" x14ac:dyDescent="0.15">
      <c r="A19" s="111"/>
      <c r="B19" s="111"/>
      <c r="C19" s="111"/>
      <c r="D19" s="111"/>
      <c r="E19" s="111"/>
      <c r="F19" s="111"/>
      <c r="G19" s="111"/>
      <c r="H19" s="111"/>
    </row>
  </sheetData>
  <mergeCells count="3">
    <mergeCell ref="A1:H1"/>
    <mergeCell ref="A14:H14"/>
    <mergeCell ref="A15:H19"/>
  </mergeCells>
  <hyperlinks>
    <hyperlink ref="C5" r:id="rId1" xr:uid="{BEF52AAC-EACE-EF4C-BB23-47DB2000BF0A}"/>
  </hyperlinks>
  <pageMargins left="0.7" right="0.7" top="0.75" bottom="0.75"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42"/>
  <sheetViews>
    <sheetView showGridLines="0" zoomScaleNormal="100" workbookViewId="0">
      <selection sqref="A1:J1"/>
    </sheetView>
  </sheetViews>
  <sheetFormatPr baseColWidth="10" defaultColWidth="9.1640625" defaultRowHeight="14" x14ac:dyDescent="0.15"/>
  <cols>
    <col min="1" max="1" width="20.1640625" style="20" bestFit="1" customWidth="1"/>
    <col min="2" max="2" width="16" style="20" customWidth="1"/>
    <col min="3" max="8" width="14" style="20" customWidth="1"/>
    <col min="9" max="9" width="16" style="20" customWidth="1"/>
    <col min="10" max="10" width="36" style="20" customWidth="1"/>
    <col min="11" max="16384" width="9.1640625" style="20"/>
  </cols>
  <sheetData>
    <row r="1" spans="1:10" ht="24" customHeight="1" x14ac:dyDescent="0.15">
      <c r="A1" s="88" t="s">
        <v>56</v>
      </c>
      <c r="B1" s="89"/>
      <c r="C1" s="89"/>
      <c r="D1" s="89"/>
      <c r="E1" s="89"/>
      <c r="F1" s="89"/>
      <c r="G1" s="89"/>
      <c r="H1" s="89"/>
      <c r="I1" s="89"/>
      <c r="J1" s="89"/>
    </row>
    <row r="2" spans="1:10" x14ac:dyDescent="0.15">
      <c r="A2" s="21"/>
      <c r="B2" s="21"/>
      <c r="C2" s="21"/>
      <c r="D2" s="21"/>
      <c r="E2" s="21"/>
      <c r="F2" s="21"/>
      <c r="G2" s="21"/>
      <c r="H2" s="21"/>
      <c r="I2" s="21"/>
      <c r="J2" s="21"/>
    </row>
    <row r="3" spans="1:10" x14ac:dyDescent="0.15">
      <c r="A3" s="22" t="s">
        <v>33</v>
      </c>
      <c r="B3" s="21" t="s">
        <v>57</v>
      </c>
      <c r="C3" s="21"/>
      <c r="D3" s="21"/>
      <c r="E3" s="21"/>
      <c r="F3" s="21"/>
      <c r="G3" s="21"/>
      <c r="H3" s="21"/>
      <c r="I3" s="21"/>
      <c r="J3" s="23"/>
    </row>
    <row r="4" spans="1:10" x14ac:dyDescent="0.15">
      <c r="A4" s="21"/>
      <c r="B4" s="21"/>
      <c r="C4" s="21"/>
      <c r="D4" s="21"/>
      <c r="E4" s="21"/>
      <c r="F4" s="21"/>
      <c r="G4" s="21"/>
      <c r="H4" s="21"/>
      <c r="I4" s="21"/>
      <c r="J4" s="23"/>
    </row>
    <row r="5" spans="1:10" ht="16.5" customHeight="1" x14ac:dyDescent="0.15">
      <c r="A5" s="24" t="s">
        <v>58</v>
      </c>
      <c r="B5" s="21"/>
      <c r="C5" s="21"/>
      <c r="D5" s="24" t="s">
        <v>59</v>
      </c>
      <c r="E5" s="21"/>
      <c r="F5" s="21"/>
      <c r="G5" s="24" t="s">
        <v>60</v>
      </c>
      <c r="H5" s="21"/>
      <c r="I5" s="21"/>
      <c r="J5" s="21"/>
    </row>
    <row r="6" spans="1:10" x14ac:dyDescent="0.15">
      <c r="A6" s="25" t="s">
        <v>61</v>
      </c>
      <c r="B6" s="51">
        <v>1250</v>
      </c>
      <c r="C6" s="21"/>
      <c r="D6" s="22" t="s">
        <v>62</v>
      </c>
      <c r="E6" s="22" t="s">
        <v>63</v>
      </c>
      <c r="F6" s="21"/>
      <c r="G6" s="22" t="s">
        <v>64</v>
      </c>
      <c r="H6" s="22" t="s">
        <v>63</v>
      </c>
      <c r="I6" s="21"/>
      <c r="J6" s="21"/>
    </row>
    <row r="7" spans="1:10" x14ac:dyDescent="0.15">
      <c r="A7" s="25" t="s">
        <v>65</v>
      </c>
      <c r="B7" s="52">
        <v>6.4000000000000001E-2</v>
      </c>
      <c r="C7" s="21"/>
      <c r="D7" s="26">
        <v>0.03</v>
      </c>
      <c r="E7" s="27">
        <f t="shared" ref="E7:E15" si="0">$B$6*(1-(1+D7/$B$9)^(-$B$8*$B$9))/(D7/$B$9)</f>
        <v>50230.977356475065</v>
      </c>
      <c r="F7" s="21"/>
      <c r="G7" s="28">
        <v>2</v>
      </c>
      <c r="H7" s="27">
        <f t="shared" ref="H7:H15" si="1">$B$6*(1-(1+$B$7/$B$9)^(-G7*$B$9))/($B$7/$B$9)</f>
        <v>9316.7731013193024</v>
      </c>
      <c r="I7" s="21"/>
      <c r="J7" s="21"/>
    </row>
    <row r="8" spans="1:10" x14ac:dyDescent="0.15">
      <c r="A8" s="25" t="s">
        <v>64</v>
      </c>
      <c r="B8" s="51">
        <v>12</v>
      </c>
      <c r="C8" s="21"/>
      <c r="D8" s="26">
        <v>0.04</v>
      </c>
      <c r="E8" s="27">
        <f t="shared" si="0"/>
        <v>47467.449366850349</v>
      </c>
      <c r="F8" s="21"/>
      <c r="G8" s="28">
        <v>4</v>
      </c>
      <c r="H8" s="27">
        <f t="shared" si="1"/>
        <v>17522.477261563836</v>
      </c>
      <c r="I8" s="21"/>
      <c r="J8" s="21"/>
    </row>
    <row r="9" spans="1:10" x14ac:dyDescent="0.15">
      <c r="A9" s="25" t="s">
        <v>66</v>
      </c>
      <c r="B9" s="51">
        <v>4</v>
      </c>
      <c r="C9" s="21"/>
      <c r="D9" s="26">
        <v>0.05</v>
      </c>
      <c r="E9" s="27">
        <f t="shared" si="0"/>
        <v>44914.351135348261</v>
      </c>
      <c r="F9" s="21"/>
      <c r="G9" s="28">
        <v>6</v>
      </c>
      <c r="H9" s="27">
        <f t="shared" si="1"/>
        <v>24749.612669199727</v>
      </c>
      <c r="I9" s="21"/>
      <c r="J9" s="21"/>
    </row>
    <row r="10" spans="1:10" x14ac:dyDescent="0.15">
      <c r="A10" s="25" t="s">
        <v>67</v>
      </c>
      <c r="B10" s="51">
        <v>0</v>
      </c>
      <c r="C10" s="21"/>
      <c r="D10" s="26">
        <v>0.06</v>
      </c>
      <c r="E10" s="27">
        <f t="shared" si="0"/>
        <v>42553.192056985215</v>
      </c>
      <c r="F10" s="21"/>
      <c r="G10" s="28">
        <v>8</v>
      </c>
      <c r="H10" s="27">
        <f t="shared" si="1"/>
        <v>31114.878243037794</v>
      </c>
      <c r="I10" s="21"/>
      <c r="J10" s="21"/>
    </row>
    <row r="11" spans="1:10" x14ac:dyDescent="0.15">
      <c r="A11" s="21"/>
      <c r="B11" s="21"/>
      <c r="C11" s="21"/>
      <c r="D11" s="26">
        <v>7.0000000000000007E-2</v>
      </c>
      <c r="E11" s="27">
        <f t="shared" si="0"/>
        <v>40367.251611903775</v>
      </c>
      <c r="F11" s="21"/>
      <c r="G11" s="28">
        <v>10</v>
      </c>
      <c r="H11" s="27">
        <f t="shared" si="1"/>
        <v>36721.056007837928</v>
      </c>
      <c r="I11" s="21"/>
      <c r="J11" s="21"/>
    </row>
    <row r="12" spans="1:10" x14ac:dyDescent="0.15">
      <c r="A12" s="29" t="s">
        <v>68</v>
      </c>
      <c r="B12" s="30">
        <f>B7/B9</f>
        <v>1.6E-2</v>
      </c>
      <c r="C12" s="21"/>
      <c r="D12" s="26">
        <v>0.08</v>
      </c>
      <c r="E12" s="27">
        <f t="shared" si="0"/>
        <v>38341.399464694296</v>
      </c>
      <c r="F12" s="21"/>
      <c r="G12" s="28">
        <v>12</v>
      </c>
      <c r="H12" s="27">
        <f t="shared" si="1"/>
        <v>41658.670749274177</v>
      </c>
      <c r="I12" s="21"/>
      <c r="J12" s="21"/>
    </row>
    <row r="13" spans="1:10" x14ac:dyDescent="0.15">
      <c r="A13" s="29" t="s">
        <v>69</v>
      </c>
      <c r="B13" s="31">
        <f>B8*B9</f>
        <v>48</v>
      </c>
      <c r="C13" s="21"/>
      <c r="D13" s="26">
        <v>0.09</v>
      </c>
      <c r="E13" s="27">
        <f t="shared" si="0"/>
        <v>36461.934708246088</v>
      </c>
      <c r="F13" s="21"/>
      <c r="G13" s="28">
        <v>14</v>
      </c>
      <c r="H13" s="27">
        <f t="shared" si="1"/>
        <v>46007.451747251973</v>
      </c>
      <c r="I13" s="21"/>
      <c r="J13" s="21"/>
    </row>
    <row r="14" spans="1:10" x14ac:dyDescent="0.15">
      <c r="A14" s="29" t="s">
        <v>70</v>
      </c>
      <c r="B14" s="32">
        <f>B6*(1-(1+B12)^(-B13))/B12</f>
        <v>41658.670749274177</v>
      </c>
      <c r="C14" s="21"/>
      <c r="D14" s="26">
        <v>0.1</v>
      </c>
      <c r="E14" s="27">
        <f t="shared" si="0"/>
        <v>34716.442136712241</v>
      </c>
      <c r="F14" s="21"/>
      <c r="G14" s="28">
        <v>16</v>
      </c>
      <c r="H14" s="27">
        <f t="shared" si="1"/>
        <v>49837.620190663525</v>
      </c>
      <c r="I14" s="21"/>
      <c r="J14" s="21"/>
    </row>
    <row r="15" spans="1:10" x14ac:dyDescent="0.15">
      <c r="A15" s="29" t="s">
        <v>71</v>
      </c>
      <c r="B15" s="32">
        <f>B14*(1+B12)</f>
        <v>42325.209481262566</v>
      </c>
      <c r="C15" s="21"/>
      <c r="D15" s="26">
        <v>0.11</v>
      </c>
      <c r="E15" s="27">
        <f t="shared" si="0"/>
        <v>33093.663673570445</v>
      </c>
      <c r="F15" s="21"/>
      <c r="G15" s="28">
        <v>18</v>
      </c>
      <c r="H15" s="27">
        <f t="shared" si="1"/>
        <v>53211.02306188822</v>
      </c>
      <c r="I15" s="21"/>
      <c r="J15" s="21"/>
    </row>
    <row r="16" spans="1:10" x14ac:dyDescent="0.15">
      <c r="A16" s="29" t="s">
        <v>72</v>
      </c>
      <c r="B16" s="32">
        <f>IF(B10=1,B15,B14)</f>
        <v>41658.670749274177</v>
      </c>
      <c r="C16" s="21"/>
      <c r="D16" s="21"/>
      <c r="E16" s="21"/>
      <c r="F16" s="21"/>
      <c r="G16" s="21">
        <v>20</v>
      </c>
      <c r="H16" s="33">
        <f>$B$6*(1-(1+$B$7/$B$9)^(-G16*$B$9))/($B$7/$B$9)</f>
        <v>56182.131800241994</v>
      </c>
      <c r="I16" s="21"/>
      <c r="J16" s="21"/>
    </row>
    <row r="18" spans="1:10" x14ac:dyDescent="0.15">
      <c r="A18" s="90" t="s">
        <v>73</v>
      </c>
      <c r="B18" s="90"/>
      <c r="C18" s="21"/>
      <c r="D18" s="21"/>
      <c r="E18" s="21"/>
      <c r="F18" s="21"/>
      <c r="G18" s="21"/>
      <c r="H18" s="21"/>
      <c r="I18" s="21"/>
      <c r="J18" s="21"/>
    </row>
    <row r="19" spans="1:10" ht="14" customHeight="1" x14ac:dyDescent="0.15">
      <c r="A19" s="91" t="s">
        <v>74</v>
      </c>
      <c r="B19" s="92"/>
      <c r="C19" s="21"/>
      <c r="D19" s="21"/>
      <c r="E19" s="21"/>
      <c r="F19" s="21"/>
      <c r="G19" s="21"/>
      <c r="H19" s="21"/>
      <c r="I19" s="21"/>
      <c r="J19" s="21"/>
    </row>
    <row r="20" spans="1:10" x14ac:dyDescent="0.15">
      <c r="A20" s="93"/>
      <c r="B20" s="94"/>
      <c r="C20" s="21"/>
      <c r="D20" s="21"/>
      <c r="E20" s="21"/>
      <c r="F20" s="21"/>
      <c r="G20" s="21"/>
      <c r="H20" s="21"/>
      <c r="I20" s="21"/>
      <c r="J20" s="21"/>
    </row>
    <row r="21" spans="1:10" x14ac:dyDescent="0.15">
      <c r="A21" s="93"/>
      <c r="B21" s="94"/>
      <c r="C21" s="21"/>
      <c r="D21" s="21"/>
      <c r="E21" s="21"/>
      <c r="F21" s="21"/>
      <c r="G21" s="21"/>
      <c r="H21" s="21"/>
      <c r="I21" s="21"/>
      <c r="J21" s="21"/>
    </row>
    <row r="22" spans="1:10" x14ac:dyDescent="0.15">
      <c r="A22" s="93"/>
      <c r="B22" s="94"/>
      <c r="C22" s="21"/>
      <c r="D22" s="21"/>
      <c r="E22" s="21"/>
      <c r="F22" s="21"/>
      <c r="G22" s="21"/>
      <c r="H22" s="21"/>
      <c r="I22" s="21"/>
      <c r="J22" s="21"/>
    </row>
    <row r="23" spans="1:10" x14ac:dyDescent="0.15">
      <c r="A23" s="93"/>
      <c r="B23" s="94"/>
      <c r="C23" s="21"/>
      <c r="D23" s="21"/>
      <c r="E23" s="21"/>
      <c r="F23" s="21"/>
      <c r="G23" s="21"/>
      <c r="H23" s="21"/>
      <c r="I23" s="21"/>
      <c r="J23" s="21"/>
    </row>
    <row r="24" spans="1:10" x14ac:dyDescent="0.15">
      <c r="A24" s="93"/>
      <c r="B24" s="94"/>
      <c r="C24" s="21"/>
      <c r="D24" s="21"/>
      <c r="E24" s="21"/>
      <c r="F24" s="21"/>
      <c r="G24" s="21"/>
      <c r="H24" s="21"/>
      <c r="I24" s="21"/>
      <c r="J24" s="21"/>
    </row>
    <row r="25" spans="1:10" x14ac:dyDescent="0.15">
      <c r="A25" s="93"/>
      <c r="B25" s="94"/>
      <c r="C25" s="21"/>
      <c r="D25" s="21"/>
      <c r="E25" s="21"/>
      <c r="F25" s="21"/>
      <c r="G25" s="21"/>
      <c r="H25" s="21"/>
      <c r="I25" s="21"/>
      <c r="J25" s="21"/>
    </row>
    <row r="26" spans="1:10" x14ac:dyDescent="0.15">
      <c r="A26" s="93"/>
      <c r="B26" s="94"/>
      <c r="C26" s="21"/>
      <c r="D26" s="21"/>
      <c r="E26" s="21"/>
      <c r="F26" s="21"/>
      <c r="G26" s="21"/>
      <c r="H26" s="21"/>
      <c r="I26" s="21"/>
      <c r="J26" s="21"/>
    </row>
    <row r="27" spans="1:10" x14ac:dyDescent="0.15">
      <c r="A27" s="93"/>
      <c r="B27" s="94"/>
      <c r="C27" s="21"/>
      <c r="D27" s="21"/>
      <c r="E27" s="21"/>
      <c r="F27" s="21"/>
      <c r="G27" s="21"/>
      <c r="H27" s="21"/>
      <c r="I27" s="21"/>
      <c r="J27" s="21"/>
    </row>
    <row r="28" spans="1:10" x14ac:dyDescent="0.15">
      <c r="A28" s="95"/>
      <c r="B28" s="96"/>
      <c r="C28" s="21"/>
      <c r="D28" s="21"/>
      <c r="E28" s="21"/>
      <c r="F28" s="21"/>
      <c r="G28" s="21"/>
      <c r="H28" s="21"/>
      <c r="I28" s="21"/>
      <c r="J28" s="21"/>
    </row>
    <row r="29" spans="1:10" x14ac:dyDescent="0.15">
      <c r="A29" s="21"/>
      <c r="B29" s="21"/>
      <c r="C29" s="21"/>
      <c r="D29" s="21"/>
      <c r="E29" s="21"/>
      <c r="F29" s="21"/>
      <c r="G29" s="21"/>
      <c r="H29" s="21"/>
      <c r="I29" s="21"/>
      <c r="J29" s="21"/>
    </row>
    <row r="30" spans="1:10" ht="16.5" customHeight="1" x14ac:dyDescent="0.15">
      <c r="A30" s="97" t="s">
        <v>75</v>
      </c>
      <c r="B30" s="97"/>
      <c r="C30" s="97"/>
      <c r="D30" s="97"/>
      <c r="E30" s="97"/>
      <c r="F30" s="97"/>
      <c r="G30" s="97"/>
      <c r="H30" s="97"/>
      <c r="I30" s="97"/>
      <c r="J30" s="97"/>
    </row>
    <row r="31" spans="1:10" ht="13.5" customHeight="1" x14ac:dyDescent="0.15">
      <c r="A31" s="98" t="s">
        <v>76</v>
      </c>
      <c r="B31" s="98"/>
      <c r="C31" s="98"/>
      <c r="D31" s="98"/>
      <c r="E31" s="98"/>
      <c r="F31" s="98"/>
      <c r="G31" s="98"/>
      <c r="H31" s="98"/>
      <c r="I31" s="98"/>
      <c r="J31" s="98"/>
    </row>
    <row r="32" spans="1:10" x14ac:dyDescent="0.15">
      <c r="A32" s="98"/>
      <c r="B32" s="98"/>
      <c r="C32" s="98"/>
      <c r="D32" s="98"/>
      <c r="E32" s="98"/>
      <c r="F32" s="98"/>
      <c r="G32" s="98"/>
      <c r="H32" s="98"/>
      <c r="I32" s="98"/>
      <c r="J32" s="98"/>
    </row>
    <row r="33" spans="1:10" x14ac:dyDescent="0.15">
      <c r="A33" s="98"/>
      <c r="B33" s="98"/>
      <c r="C33" s="98"/>
      <c r="D33" s="98"/>
      <c r="E33" s="98"/>
      <c r="F33" s="98"/>
      <c r="G33" s="98"/>
      <c r="H33" s="98"/>
      <c r="I33" s="98"/>
      <c r="J33" s="98"/>
    </row>
    <row r="34" spans="1:10" x14ac:dyDescent="0.15">
      <c r="A34" s="98"/>
      <c r="B34" s="98"/>
      <c r="C34" s="98"/>
      <c r="D34" s="98"/>
      <c r="E34" s="98"/>
      <c r="F34" s="98"/>
      <c r="G34" s="98"/>
      <c r="H34" s="98"/>
      <c r="I34" s="98"/>
      <c r="J34" s="98"/>
    </row>
    <row r="35" spans="1:10" x14ac:dyDescent="0.15">
      <c r="A35" s="98"/>
      <c r="B35" s="98"/>
      <c r="C35" s="98"/>
      <c r="D35" s="98"/>
      <c r="E35" s="98"/>
      <c r="F35" s="98"/>
      <c r="G35" s="98"/>
      <c r="H35" s="98"/>
      <c r="I35" s="98"/>
      <c r="J35" s="98"/>
    </row>
    <row r="36" spans="1:10" x14ac:dyDescent="0.15">
      <c r="A36" s="98"/>
      <c r="B36" s="98"/>
      <c r="C36" s="98"/>
      <c r="D36" s="98"/>
      <c r="E36" s="98"/>
      <c r="F36" s="98"/>
      <c r="G36" s="98"/>
      <c r="H36" s="98"/>
      <c r="I36" s="98"/>
      <c r="J36" s="98"/>
    </row>
    <row r="37" spans="1:10" x14ac:dyDescent="0.15">
      <c r="A37" s="98"/>
      <c r="B37" s="98"/>
      <c r="C37" s="98"/>
      <c r="D37" s="98"/>
      <c r="E37" s="98"/>
      <c r="F37" s="98"/>
      <c r="G37" s="98"/>
      <c r="H37" s="98"/>
      <c r="I37" s="98"/>
      <c r="J37" s="98"/>
    </row>
    <row r="38" spans="1:10" x14ac:dyDescent="0.15">
      <c r="A38" s="98"/>
      <c r="B38" s="98"/>
      <c r="C38" s="98"/>
      <c r="D38" s="98"/>
      <c r="E38" s="98"/>
      <c r="F38" s="98"/>
      <c r="G38" s="98"/>
      <c r="H38" s="98"/>
      <c r="I38" s="98"/>
      <c r="J38" s="98"/>
    </row>
    <row r="39" spans="1:10" x14ac:dyDescent="0.15">
      <c r="A39" s="98"/>
      <c r="B39" s="98"/>
      <c r="C39" s="98"/>
      <c r="D39" s="98"/>
      <c r="E39" s="98"/>
      <c r="F39" s="98"/>
      <c r="G39" s="98"/>
      <c r="H39" s="98"/>
      <c r="I39" s="98"/>
      <c r="J39" s="98"/>
    </row>
    <row r="40" spans="1:10" x14ac:dyDescent="0.15">
      <c r="A40" s="98"/>
      <c r="B40" s="98"/>
      <c r="C40" s="98"/>
      <c r="D40" s="98"/>
      <c r="E40" s="98"/>
      <c r="F40" s="98"/>
      <c r="G40" s="98"/>
      <c r="H40" s="98"/>
      <c r="I40" s="98"/>
      <c r="J40" s="98"/>
    </row>
    <row r="41" spans="1:10" x14ac:dyDescent="0.15">
      <c r="A41" s="98"/>
      <c r="B41" s="98"/>
      <c r="C41" s="98"/>
      <c r="D41" s="98"/>
      <c r="E41" s="98"/>
      <c r="F41" s="98"/>
      <c r="G41" s="98"/>
      <c r="H41" s="98"/>
      <c r="I41" s="98"/>
      <c r="J41" s="98"/>
    </row>
    <row r="42" spans="1:10" x14ac:dyDescent="0.15">
      <c r="A42" s="98"/>
      <c r="B42" s="98"/>
      <c r="C42" s="98"/>
      <c r="D42" s="98"/>
      <c r="E42" s="98"/>
      <c r="F42" s="98"/>
      <c r="G42" s="98"/>
      <c r="H42" s="98"/>
      <c r="I42" s="98"/>
      <c r="J42" s="98"/>
    </row>
  </sheetData>
  <mergeCells count="5">
    <mergeCell ref="A1:J1"/>
    <mergeCell ref="A18:B18"/>
    <mergeCell ref="A19:B28"/>
    <mergeCell ref="A30:J30"/>
    <mergeCell ref="A31:J42"/>
  </mergeCells>
  <pageMargins left="0.7" right="0.7" top="0.75" bottom="0.75" header="0.511811023622047" footer="0.511811023622047"/>
  <pageSetup paperSize="9"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63"/>
  <sheetViews>
    <sheetView showGridLines="0" topLeftCell="A10" zoomScaleNormal="100" workbookViewId="0">
      <selection activeCell="A47" sqref="A47:M63"/>
    </sheetView>
  </sheetViews>
  <sheetFormatPr baseColWidth="10" defaultColWidth="9.1640625" defaultRowHeight="14" x14ac:dyDescent="0.15"/>
  <cols>
    <col min="1" max="1" width="16" style="20" customWidth="1"/>
    <col min="2" max="12" width="14" style="20" customWidth="1"/>
    <col min="13" max="13" width="34" style="20" customWidth="1"/>
    <col min="14" max="14" width="9.1640625" style="20"/>
    <col min="15" max="15" width="12.6640625" style="20" bestFit="1" customWidth="1"/>
    <col min="16" max="16384" width="9.1640625" style="20"/>
  </cols>
  <sheetData>
    <row r="1" spans="1:21" ht="24" customHeight="1" x14ac:dyDescent="0.15">
      <c r="A1" s="88" t="s">
        <v>77</v>
      </c>
      <c r="B1" s="89"/>
      <c r="C1" s="89"/>
      <c r="D1" s="89"/>
      <c r="E1" s="89"/>
      <c r="F1" s="89"/>
      <c r="G1" s="89"/>
      <c r="H1" s="89"/>
      <c r="I1" s="89"/>
      <c r="J1" s="89"/>
      <c r="K1" s="89"/>
      <c r="L1" s="89"/>
      <c r="M1" s="89"/>
    </row>
    <row r="3" spans="1:21" x14ac:dyDescent="0.15">
      <c r="O3" s="34"/>
    </row>
    <row r="4" spans="1:21" x14ac:dyDescent="0.15">
      <c r="O4" s="35" t="s">
        <v>78</v>
      </c>
      <c r="P4" s="35" t="s">
        <v>79</v>
      </c>
      <c r="Q4" s="35" t="s">
        <v>80</v>
      </c>
      <c r="R4" s="35" t="s">
        <v>81</v>
      </c>
      <c r="S4" s="35" t="s">
        <v>82</v>
      </c>
      <c r="T4" s="35" t="s">
        <v>83</v>
      </c>
      <c r="U4" s="35" t="s">
        <v>84</v>
      </c>
    </row>
    <row r="5" spans="1:21" ht="16.5" customHeight="1" x14ac:dyDescent="0.2">
      <c r="A5" s="36" t="s">
        <v>58</v>
      </c>
      <c r="J5" s="36" t="s">
        <v>85</v>
      </c>
      <c r="O5" s="37">
        <v>0.01</v>
      </c>
      <c r="P5" s="38">
        <f>((1+$B$8/$B$10)/($B$8/$B$10)-((1+$B$8/$B$10)+1*$B$10*(($O$5/$B$10)-($B$8/$B$10)))/(($O$5/$B$10)*((1+$B$8/$B$10)^(1*$B$10)-1)+($B$8/$B$10)))/$B$10</f>
        <v>0.99744841138241469</v>
      </c>
      <c r="Q5" s="38">
        <f>((1+$B$8/$B$10)/($B$8/$B$10)-((1+$B$8/$B$10)+5*$B$10*(($O$5/$B$10)-($B$8/$B$10)))/(($O$5/$B$10)*((1+$B$8/$B$10)^(5*$B$10)-1)+($B$8/$B$10)))/$B$10</f>
        <v>4.8706442797977836</v>
      </c>
      <c r="R5" s="38">
        <f>((1+$B$8/$B$10)/($B$8/$B$10)-((1+$B$8/$B$10)+10*$B$10*(($O$5/$B$10)-($B$8/$B$10)))/(($O$5/$B$10)*((1+$B$8/$B$10)^(10*$B$10)-1)+($B$8/$B$10)))/$B$10</f>
        <v>9.3720626769647684</v>
      </c>
      <c r="S5" s="38">
        <f>((1+$B$8/$B$10)/($B$8/$B$10)-((1+$B$8/$B$10)+15*$B$10*(($O$5/$B$10)-($B$8/$B$10)))/(($O$5/$B$10)*((1+$B$8/$B$10)^(15*$B$10)-1)+($B$8/$B$10)))/$B$10</f>
        <v>13.368853255603979</v>
      </c>
      <c r="T5" s="38">
        <f>((1+$B$8/$B$10)/($B$8/$B$10)-((1+$B$8/$B$10)+20*$B$10*(($O$5/$B$10)-($B$8/$B$10)))/(($O$5/$B$10)*((1+$B$8/$B$10)^(20*$B$10)-1)+($B$8/$B$10)))/$B$10</f>
        <v>16.733791262171462</v>
      </c>
      <c r="U5" s="38">
        <f>((1+$B$8/$B$10)/($B$8/$B$10)-((1+$B$8/$B$10)+30*$B$10*(($O$5/$B$10)-($B$8/$B$10)))/(($O$5/$B$10)*((1+$B$8/$B$10)^(30*$B$10)-1)+($B$8/$B$10)))/$B$10</f>
        <v>21.251210721332424</v>
      </c>
    </row>
    <row r="6" spans="1:21" x14ac:dyDescent="0.15">
      <c r="A6" s="39" t="s">
        <v>86</v>
      </c>
      <c r="B6" s="53">
        <v>1000</v>
      </c>
      <c r="J6" s="40" t="s">
        <v>87</v>
      </c>
      <c r="K6" s="41" t="s">
        <v>88</v>
      </c>
      <c r="L6" s="41" t="s">
        <v>89</v>
      </c>
      <c r="O6" s="37">
        <v>0.04</v>
      </c>
      <c r="P6" s="38">
        <f>((1+$B$8/$B$10)/($B$8/$B$10)-((1+$B$8/$B$10)+1*$B$10*(($O$6/$B$10)-($B$8/$B$10)))/(($O$6/$B$10)*((1+$B$8/$B$10)^(1*$B$10)-1)+($B$8/$B$10)))/$B$10</f>
        <v>0.99009244488862436</v>
      </c>
      <c r="Q6" s="38">
        <f>((1+$B$8/$B$10)/($B$8/$B$10)-((1+$B$8/$B$10)+5*$B$10*(($O$6/$B$10)-($B$8/$B$10)))/(($O$6/$B$10)*((1+$B$8/$B$10)^(5*$B$10)-1)+($B$8/$B$10)))/$B$10</f>
        <v>4.5552287622056422</v>
      </c>
      <c r="R6" s="38">
        <f>((1+$B$8/$B$10)/($B$8/$B$10)-((1+$B$8/$B$10)+10*$B$10*(($O$6/$B$10)-($B$8/$B$10)))/(($O$6/$B$10)*((1+$B$8/$B$10)^(10*$B$10)-1)+($B$8/$B$10)))/$B$10</f>
        <v>8.1511133315861226</v>
      </c>
      <c r="S6" s="38">
        <f>((1+$B$8/$B$10)/($B$8/$B$10)-((1+$B$8/$B$10)+15*$B$10*(($O$6/$B$10)-($B$8/$B$10)))/(($O$6/$B$10)*((1+$B$8/$B$10)^(15*$B$10)-1)+($B$8/$B$10)))/$B$10</f>
        <v>10.881177785621592</v>
      </c>
      <c r="T6" s="38">
        <f>((1+$B$8/$B$10)/($B$8/$B$10)-((1+$B$8/$B$10)+20*$B$10*(($O$6/$B$10)-($B$8/$B$10)))/(($O$6/$B$10)*((1+$B$8/$B$10)^(20*$B$10)-1)+($B$8/$B$10)))/$B$10</f>
        <v>12.880123593149525</v>
      </c>
      <c r="U6" s="38">
        <f>((1+$B$8/$B$10)/($B$8/$B$10)-((1+$B$8/$B$10)+30*$B$10*(($O$6/$B$10)-($B$8/$B$10)))/(($O$6/$B$10)*((1+$B$8/$B$10)^(30*$B$10)-1)+($B$8/$B$10)))/$B$10</f>
        <v>15.264021830480184</v>
      </c>
    </row>
    <row r="7" spans="1:21" x14ac:dyDescent="0.15">
      <c r="A7" s="39" t="s">
        <v>90</v>
      </c>
      <c r="B7" s="54">
        <v>5.8000000000000003E-2</v>
      </c>
      <c r="J7" s="42">
        <v>0.03</v>
      </c>
      <c r="K7" s="43">
        <f t="shared" ref="K7:K13" si="0">$B$12*(1-(1+(J7/$B$10))^(-$B$9*$B$10))/(J7/$B$10)+$B$6*(1+(J7/$B$10))^(-$B$9*$B$10)</f>
        <v>1175.6073410154381</v>
      </c>
      <c r="L7" s="44">
        <f t="shared" ref="L7:L13" si="1">(((1+(J7/$B$10))/(J7/$B$10))-((1+(J7/$B$10))+$B$9*$B$10*(($B$7/$B$10)-(J7/$B$10)))/(($B$7/$B$10)*((1+(J7/$B$10))^($B$9*$B$10)-1)+(J7/$B$10)))/$B$10/(1+(J7/$B$10))</f>
        <v>5.8689428391078566</v>
      </c>
      <c r="O7" s="37">
        <v>5.8000000000000003E-2</v>
      </c>
      <c r="P7" s="38">
        <f>((1+$B$8/$B$10)/($B$8/$B$10)-((1+$B$8/$B$10)+1*$B$10*(($O$7/$B$10)-($B$8/$B$10)))/(($O$7/$B$10)*((1+$B$8/$B$10)^(1*$B$10)-1)+($B$8/$B$10)))/$B$10</f>
        <v>0.98588203407501318</v>
      </c>
      <c r="Q7" s="38">
        <f>((1+$B$8/$B$10)/($B$8/$B$10)-((1+$B$8/$B$10)+5*$B$10*(($O$7/$B$10)-($B$8/$B$10)))/(($O$7/$B$10)*((1+$B$8/$B$10)^(5*$B$10)-1)+($B$8/$B$10)))/$B$10</f>
        <v>4.4051920962407003</v>
      </c>
      <c r="R7" s="38">
        <f>((1+$B$8/$B$10)/($B$8/$B$10)-((1+$B$8/$B$10)+10*$B$10*(($O$7/$B$10)-($B$8/$B$10)))/(($O$7/$B$10)*((1+$B$8/$B$10)^(10*$B$10)-1)+($B$8/$B$10)))/$B$10</f>
        <v>7.6855853696973302</v>
      </c>
      <c r="S7" s="38">
        <f>((1+$B$8/$B$10)/($B$8/$B$10)-((1+$B$8/$B$10)+15*$B$10*(($O$7/$B$10)-($B$8/$B$10)))/(($O$7/$B$10)*((1+$B$8/$B$10)^(15*$B$10)-1)+($B$8/$B$10)))/$B$10</f>
        <v>10.109624017022437</v>
      </c>
      <c r="T7" s="38">
        <f>((1+$B$8/$B$10)/($B$8/$B$10)-((1+$B$8/$B$10)+20*$B$10*(($O$7/$B$10)-($B$8/$B$10)))/(($O$7/$B$10)*((1+$B$8/$B$10)^(20*$B$10)-1)+($B$8/$B$10)))/$B$10</f>
        <v>11.890298527043777</v>
      </c>
      <c r="U7" s="38">
        <f>((1+$B$8/$B$10)/($B$8/$B$10)-((1+$B$8/$B$10)+30*$B$10*(($O$7/$B$10)-($B$8/$B$10)))/(($O$7/$B$10)*((1+$B$8/$B$10)^(30*$B$10)-1)+($B$8/$B$10)))/$B$10</f>
        <v>14.14131759169026</v>
      </c>
    </row>
    <row r="8" spans="1:21" x14ac:dyDescent="0.15">
      <c r="A8" s="39" t="s">
        <v>91</v>
      </c>
      <c r="B8" s="54">
        <v>6.2E-2</v>
      </c>
      <c r="J8" s="45">
        <v>0.04</v>
      </c>
      <c r="K8" s="43">
        <f t="shared" si="0"/>
        <v>1108.9562389352698</v>
      </c>
      <c r="L8" s="44">
        <f t="shared" si="1"/>
        <v>5.8041370193205415</v>
      </c>
      <c r="O8" s="37">
        <v>0.08</v>
      </c>
      <c r="P8" s="38">
        <f>((1+$B$8/$B$10)/($B$8/$B$10)-((1+$B$8/$B$10)+1*$B$10*(($O$8/$B$10)-($B$8/$B$10)))/(($O$8/$B$10)*((1+$B$8/$B$10)^(1*$B$10)-1)+($B$8/$B$10)))/$B$10</f>
        <v>0.98092930339239714</v>
      </c>
      <c r="Q8" s="38">
        <f>((1+$B$8/$B$10)/($B$8/$B$10)-((1+$B$8/$B$10)+5*$B$10*(($O$8/$B$10)-($B$8/$B$10)))/(($O$8/$B$10)*((1+$B$8/$B$10)^(5*$B$10)-1)+($B$8/$B$10)))/$B$10</f>
        <v>4.250731205178738</v>
      </c>
      <c r="R8" s="38">
        <f>((1+$B$8/$B$10)/($B$8/$B$10)-((1+$B$8/$B$10)+10*$B$10*(($O$8/$B$10)-($B$8/$B$10)))/(($O$8/$B$10)*((1+$B$8/$B$10)^(10*$B$10)-1)+($B$8/$B$10)))/$B$10</f>
        <v>7.2647036686349402</v>
      </c>
      <c r="S8" s="38">
        <f>((1+$B$8/$B$10)/($B$8/$B$10)-((1+$B$8/$B$10)+15*$B$10*(($O$8/$B$10)-($B$8/$B$10)))/(($O$8/$B$10)*((1+$B$8/$B$10)^(15*$B$10)-1)+($B$8/$B$10)))/$B$10</f>
        <v>9.4774231311092159</v>
      </c>
      <c r="T8" s="38">
        <f>((1+$B$8/$B$10)/($B$8/$B$10)-((1+$B$8/$B$10)+20*$B$10*(($O$8/$B$10)-($B$8/$B$10)))/(($O$8/$B$10)*((1+$B$8/$B$10)^(20*$B$10)-1)+($B$8/$B$10)))/$B$10</f>
        <v>11.137341505184594</v>
      </c>
      <c r="U8" s="38">
        <f>((1+$B$8/$B$10)/($B$8/$B$10)-((1+$B$8/$B$10)+30*$B$10*(($O$8/$B$10)-($B$8/$B$10)))/(($O$8/$B$10)*((1+$B$8/$B$10)^(30*$B$10)-1)+($B$8/$B$10)))/$B$10</f>
        <v>13.366891468642464</v>
      </c>
    </row>
    <row r="9" spans="1:21" x14ac:dyDescent="0.15">
      <c r="A9" s="39" t="s">
        <v>92</v>
      </c>
      <c r="B9" s="53">
        <v>7</v>
      </c>
      <c r="J9" s="45">
        <v>0.05</v>
      </c>
      <c r="K9" s="43">
        <f t="shared" si="0"/>
        <v>1046.7636486784063</v>
      </c>
      <c r="L9" s="44">
        <f t="shared" si="1"/>
        <v>5.7390296675796053</v>
      </c>
      <c r="O9" s="37">
        <v>0.12</v>
      </c>
      <c r="P9" s="38">
        <f>((1+$B$8/$B$10)/($B$8/$B$10)-((1+$B$8/$B$10)+1*$B$10*(($O$9/$B$10)-($B$8/$B$10)))/(($O$9/$B$10)*((1+$B$8/$B$10)^(1*$B$10)-1)+($B$8/$B$10)))/$B$10</f>
        <v>0.97242971493768771</v>
      </c>
      <c r="Q9" s="38">
        <f>((1+$B$8/$B$10)/($B$8/$B$10)-((1+$B$8/$B$10)+5*$B$10*(($O$9/$B$10)-($B$8/$B$10)))/(($O$9/$B$10)*((1+$B$8/$B$10)^(5*$B$10)-1)+($B$8/$B$10)))/$B$10</f>
        <v>4.029186304983309</v>
      </c>
      <c r="R9" s="38">
        <f>((1+$B$8/$B$10)/($B$8/$B$10)-((1+$B$8/$B$10)+10*$B$10*(($O$9/$B$10)-($B$8/$B$10)))/(($O$9/$B$10)*((1+$B$8/$B$10)^(10*$B$10)-1)+($B$8/$B$10)))/$B$10</f>
        <v>6.7444326700676704</v>
      </c>
      <c r="S9" s="38">
        <f>((1+$B$8/$B$10)/($B$8/$B$10)-((1+$B$8/$B$10)+15*$B$10*(($O$9/$B$10)-($B$8/$B$10)))/(($O$9/$B$10)*((1+$B$8/$B$10)^(15*$B$10)-1)+($B$8/$B$10)))/$B$10</f>
        <v>8.7696219041016441</v>
      </c>
      <c r="T9" s="38">
        <f>((1+$B$8/$B$10)/($B$8/$B$10)-((1+$B$8/$B$10)+20*$B$10*(($O$9/$B$10)-($B$8/$B$10)))/(($O$9/$B$10)*((1+$B$8/$B$10)^(20*$B$10)-1)+($B$8/$B$10)))/$B$10</f>
        <v>10.349973261341937</v>
      </c>
      <c r="U9" s="38">
        <f>((1+$B$8/$B$10)/($B$8/$B$10)-((1+$B$8/$B$10)+30*$B$10*(($O$9/$B$10)-($B$8/$B$10)))/(($O$9/$B$10)*((1+$B$8/$B$10)^(30*$B$10)-1)+($B$8/$B$10)))/$B$10</f>
        <v>12.62109672796214</v>
      </c>
    </row>
    <row r="10" spans="1:21" x14ac:dyDescent="0.15">
      <c r="A10" s="39" t="s">
        <v>93</v>
      </c>
      <c r="B10" s="53">
        <v>2</v>
      </c>
      <c r="J10" s="45">
        <v>0.06</v>
      </c>
      <c r="K10" s="43">
        <f t="shared" si="0"/>
        <v>988.70392686062064</v>
      </c>
      <c r="L10" s="44">
        <f t="shared" si="1"/>
        <v>5.6736261679175524</v>
      </c>
      <c r="O10" s="37">
        <v>0.2</v>
      </c>
      <c r="P10" s="38">
        <f>((1+$B$8/$B$10)/($B$8/$B$10)-((1+$B$8/$B$10)+1*$B$10*(($O$10/$B$10)-($B$8/$B$10)))/(($O$10/$B$10)*((1+$B$8/$B$10)^(1*$B$10)-1)+($B$8/$B$10)))/$B$10</f>
        <v>0.95715235641259433</v>
      </c>
      <c r="Q10" s="38">
        <f>((1+$B$8/$B$10)/($B$8/$B$10)-((1+$B$8/$B$10)+5*$B$10*(($O$10/$B$10)-($B$8/$B$10)))/(($O$10/$B$10)*((1+$B$8/$B$10)^(5*$B$10)-1)+($B$8/$B$10)))/$B$10</f>
        <v>3.72839404957762</v>
      </c>
      <c r="R10" s="38">
        <f>((1+$B$8/$B$10)/($B$8/$B$10)-((1+$B$8/$B$10)+10*$B$10*(($O$10/$B$10)-($B$8/$B$10)))/(($O$10/$B$10)*((1+$B$8/$B$10)^(10*$B$10)-1)+($B$8/$B$10)))/$B$10</f>
        <v>6.1601397238700919</v>
      </c>
      <c r="S10" s="38">
        <f>((1+$B$8/$B$10)/($B$8/$B$10)-((1+$B$8/$B$10)+15*$B$10*(($O$10/$B$10)-($B$8/$B$10)))/(($O$10/$B$10)*((1+$B$8/$B$10)^(15*$B$10)-1)+($B$8/$B$10)))/$B$10</f>
        <v>8.0578268423809387</v>
      </c>
      <c r="T10" s="38">
        <f>((1+$B$8/$B$10)/($B$8/$B$10)-((1+$B$8/$B$10)+20*$B$10*(($O$10/$B$10)-($B$8/$B$10)))/(($O$10/$B$10)*((1+$B$8/$B$10)^(20*$B$10)-1)+($B$8/$B$10)))/$B$10</f>
        <v>9.6116428829871605</v>
      </c>
      <c r="U10" s="38">
        <f>((1+$B$8/$B$10)/($B$8/$B$10)-((1+$B$8/$B$10)+30*$B$10*(($O$10/$B$10)-($B$8/$B$10)))/(($O$10/$B$10)*((1+$B$8/$B$10)^(30*$B$10)-1)+($B$8/$B$10)))/$B$10</f>
        <v>11.974515905848657</v>
      </c>
    </row>
    <row r="11" spans="1:21" x14ac:dyDescent="0.15">
      <c r="J11" s="45">
        <v>7.0000000000000007E-2</v>
      </c>
      <c r="K11" s="43">
        <f t="shared" si="0"/>
        <v>934.47687833314399</v>
      </c>
      <c r="L11" s="44">
        <f t="shared" si="1"/>
        <v>5.6079336016972983</v>
      </c>
    </row>
    <row r="12" spans="1:21" x14ac:dyDescent="0.15">
      <c r="A12" s="20" t="s">
        <v>94</v>
      </c>
      <c r="B12" s="43">
        <f>B6*B7/B10</f>
        <v>29</v>
      </c>
      <c r="J12" s="45">
        <v>0.08</v>
      </c>
      <c r="K12" s="43">
        <f t="shared" si="0"/>
        <v>883.80564777599659</v>
      </c>
      <c r="L12" s="44">
        <f t="shared" si="1"/>
        <v>5.5419607715517305</v>
      </c>
    </row>
    <row r="13" spans="1:21" x14ac:dyDescent="0.15">
      <c r="A13" s="20" t="s">
        <v>95</v>
      </c>
      <c r="B13" s="45">
        <f>B8/B10</f>
        <v>3.1E-2</v>
      </c>
      <c r="J13" s="45">
        <v>0.09</v>
      </c>
      <c r="K13" s="43">
        <f t="shared" si="0"/>
        <v>836.434795455992</v>
      </c>
      <c r="L13" s="44">
        <f t="shared" si="1"/>
        <v>5.4757182183516697</v>
      </c>
    </row>
    <row r="15" spans="1:21" x14ac:dyDescent="0.15">
      <c r="A15" s="20" t="s">
        <v>24</v>
      </c>
      <c r="B15" s="43">
        <f>B12*(1-(1+B13)^(-B9*B10))/B13 + B6*(1+B13)^(-B9*B10)</f>
        <v>977.5610860430711</v>
      </c>
    </row>
    <row r="16" spans="1:21" x14ac:dyDescent="0.15">
      <c r="A16" s="20" t="s">
        <v>25</v>
      </c>
      <c r="B16" s="44">
        <f>((1+B13)/B13 - (1+B13 + B9*B10*((B7/B10)-B13))/((B7/B10)*((1+B13)^(B9*B10)-1)+B13))/B10</f>
        <v>5.8359863494491258</v>
      </c>
    </row>
    <row r="17" spans="1:13" x14ac:dyDescent="0.15">
      <c r="A17" s="20" t="s">
        <v>96</v>
      </c>
      <c r="B17" s="44">
        <f>B16/(1+B13)</f>
        <v>5.6605105232290267</v>
      </c>
    </row>
    <row r="18" spans="1:13" x14ac:dyDescent="0.15">
      <c r="A18" s="20" t="s">
        <v>97</v>
      </c>
      <c r="B18" s="43">
        <f>B17*B15/10000</f>
        <v>0.55334948146460006</v>
      </c>
    </row>
    <row r="21" spans="1:13" x14ac:dyDescent="0.15">
      <c r="A21" s="41" t="s">
        <v>98</v>
      </c>
      <c r="B21" s="41" t="s">
        <v>99</v>
      </c>
      <c r="C21" s="41" t="s">
        <v>100</v>
      </c>
      <c r="D21" s="41" t="s">
        <v>101</v>
      </c>
      <c r="E21" s="41" t="s">
        <v>102</v>
      </c>
      <c r="F21" s="41" t="s">
        <v>103</v>
      </c>
      <c r="G21" s="41" t="s">
        <v>104</v>
      </c>
      <c r="H21" s="41" t="s">
        <v>105</v>
      </c>
    </row>
    <row r="22" spans="1:13" x14ac:dyDescent="0.15">
      <c r="A22" s="20">
        <v>1</v>
      </c>
      <c r="B22" s="44">
        <f t="shared" ref="B22:B35" si="2">A22/$B$10</f>
        <v>0.5</v>
      </c>
      <c r="C22" s="43">
        <f t="shared" ref="C22:C35" si="3">$B$12</f>
        <v>29</v>
      </c>
      <c r="D22" s="43">
        <f t="shared" ref="D22:D35" si="4">IF(A22=$B$9*$B$10,$B$6,0)</f>
        <v>0</v>
      </c>
      <c r="E22" s="43">
        <f t="shared" ref="E22:E35" si="5">C22+D22</f>
        <v>29</v>
      </c>
      <c r="F22" s="46">
        <f t="shared" ref="F22:F35" si="6">(1+$B$13)^(-A22)</f>
        <v>0.96993210475266745</v>
      </c>
      <c r="G22" s="43">
        <f t="shared" ref="G22:G35" si="7">E22*F22</f>
        <v>28.128031037827355</v>
      </c>
      <c r="H22" s="43">
        <f t="shared" ref="H22:H35" si="8">B22*G22</f>
        <v>14.064015518913678</v>
      </c>
    </row>
    <row r="23" spans="1:13" x14ac:dyDescent="0.15">
      <c r="A23" s="20">
        <v>2</v>
      </c>
      <c r="B23" s="44">
        <f t="shared" si="2"/>
        <v>1</v>
      </c>
      <c r="C23" s="43">
        <f t="shared" si="3"/>
        <v>29</v>
      </c>
      <c r="D23" s="43">
        <f t="shared" si="4"/>
        <v>0</v>
      </c>
      <c r="E23" s="43">
        <f t="shared" si="5"/>
        <v>29</v>
      </c>
      <c r="F23" s="46">
        <f t="shared" si="6"/>
        <v>0.94076828782993938</v>
      </c>
      <c r="G23" s="43">
        <f t="shared" si="7"/>
        <v>27.282280347068241</v>
      </c>
      <c r="H23" s="43">
        <f t="shared" si="8"/>
        <v>27.282280347068241</v>
      </c>
    </row>
    <row r="24" spans="1:13" x14ac:dyDescent="0.15">
      <c r="A24" s="20">
        <v>3</v>
      </c>
      <c r="B24" s="44">
        <f t="shared" si="2"/>
        <v>1.5</v>
      </c>
      <c r="C24" s="43">
        <f t="shared" si="3"/>
        <v>29</v>
      </c>
      <c r="D24" s="43">
        <f t="shared" si="4"/>
        <v>0</v>
      </c>
      <c r="E24" s="43">
        <f t="shared" si="5"/>
        <v>29</v>
      </c>
      <c r="F24" s="46">
        <f t="shared" si="6"/>
        <v>0.91248136549945624</v>
      </c>
      <c r="G24" s="43">
        <f t="shared" si="7"/>
        <v>26.461959599484231</v>
      </c>
      <c r="H24" s="43">
        <f t="shared" si="8"/>
        <v>39.692939399226347</v>
      </c>
      <c r="J24" s="90" t="s">
        <v>106</v>
      </c>
      <c r="K24" s="90"/>
      <c r="L24" s="90"/>
      <c r="M24" s="90"/>
    </row>
    <row r="25" spans="1:13" ht="14" customHeight="1" x14ac:dyDescent="0.15">
      <c r="A25" s="20">
        <v>4</v>
      </c>
      <c r="B25" s="44">
        <f t="shared" si="2"/>
        <v>2</v>
      </c>
      <c r="C25" s="43">
        <f t="shared" si="3"/>
        <v>29</v>
      </c>
      <c r="D25" s="43">
        <f t="shared" si="4"/>
        <v>0</v>
      </c>
      <c r="E25" s="43">
        <f t="shared" si="5"/>
        <v>29</v>
      </c>
      <c r="F25" s="46">
        <f t="shared" si="6"/>
        <v>0.88504497138647553</v>
      </c>
      <c r="G25" s="43">
        <f t="shared" si="7"/>
        <v>25.666304170207791</v>
      </c>
      <c r="H25" s="43">
        <f t="shared" si="8"/>
        <v>51.332608340415582</v>
      </c>
      <c r="J25" s="100" t="s">
        <v>107</v>
      </c>
      <c r="K25" s="100"/>
      <c r="L25" s="100"/>
      <c r="M25" s="100"/>
    </row>
    <row r="26" spans="1:13" x14ac:dyDescent="0.15">
      <c r="A26" s="20">
        <v>5</v>
      </c>
      <c r="B26" s="44">
        <f t="shared" si="2"/>
        <v>2.5</v>
      </c>
      <c r="C26" s="43">
        <f t="shared" si="3"/>
        <v>29</v>
      </c>
      <c r="D26" s="43">
        <f t="shared" si="4"/>
        <v>0</v>
      </c>
      <c r="E26" s="43">
        <f t="shared" si="5"/>
        <v>29</v>
      </c>
      <c r="F26" s="46">
        <f t="shared" si="6"/>
        <v>0.85843353189764848</v>
      </c>
      <c r="G26" s="43">
        <f t="shared" si="7"/>
        <v>24.894572425031807</v>
      </c>
      <c r="H26" s="43">
        <f t="shared" si="8"/>
        <v>62.23643106257952</v>
      </c>
      <c r="J26" s="100"/>
      <c r="K26" s="100"/>
      <c r="L26" s="100"/>
      <c r="M26" s="100"/>
    </row>
    <row r="27" spans="1:13" x14ac:dyDescent="0.15">
      <c r="A27" s="20">
        <v>6</v>
      </c>
      <c r="B27" s="44">
        <f t="shared" si="2"/>
        <v>3</v>
      </c>
      <c r="C27" s="43">
        <f t="shared" si="3"/>
        <v>29</v>
      </c>
      <c r="D27" s="43">
        <f t="shared" si="4"/>
        <v>0</v>
      </c>
      <c r="E27" s="43">
        <f t="shared" si="5"/>
        <v>29</v>
      </c>
      <c r="F27" s="46">
        <f t="shared" si="6"/>
        <v>0.83262224238375215</v>
      </c>
      <c r="G27" s="43">
        <f t="shared" si="7"/>
        <v>24.146045029128814</v>
      </c>
      <c r="H27" s="43">
        <f t="shared" si="8"/>
        <v>72.438135087386442</v>
      </c>
      <c r="J27" s="100"/>
      <c r="K27" s="100"/>
      <c r="L27" s="100"/>
      <c r="M27" s="100"/>
    </row>
    <row r="28" spans="1:13" x14ac:dyDescent="0.15">
      <c r="A28" s="20">
        <v>7</v>
      </c>
      <c r="B28" s="44">
        <f t="shared" si="2"/>
        <v>3.5</v>
      </c>
      <c r="C28" s="43">
        <f t="shared" si="3"/>
        <v>29</v>
      </c>
      <c r="D28" s="43">
        <f t="shared" si="4"/>
        <v>0</v>
      </c>
      <c r="E28" s="43">
        <f t="shared" si="5"/>
        <v>29</v>
      </c>
      <c r="F28" s="46">
        <f t="shared" si="6"/>
        <v>0.80758704401915837</v>
      </c>
      <c r="G28" s="43">
        <f t="shared" si="7"/>
        <v>23.420024276555594</v>
      </c>
      <c r="H28" s="43">
        <f t="shared" si="8"/>
        <v>81.970084967944587</v>
      </c>
      <c r="J28" s="100"/>
      <c r="K28" s="100"/>
      <c r="L28" s="100"/>
      <c r="M28" s="100"/>
    </row>
    <row r="29" spans="1:13" x14ac:dyDescent="0.15">
      <c r="A29" s="20">
        <v>8</v>
      </c>
      <c r="B29" s="44">
        <f t="shared" si="2"/>
        <v>4</v>
      </c>
      <c r="C29" s="43">
        <f t="shared" si="3"/>
        <v>29</v>
      </c>
      <c r="D29" s="43">
        <f t="shared" si="4"/>
        <v>0</v>
      </c>
      <c r="E29" s="43">
        <f t="shared" si="5"/>
        <v>29</v>
      </c>
      <c r="F29" s="46">
        <f t="shared" si="6"/>
        <v>0.78330460137648728</v>
      </c>
      <c r="G29" s="43">
        <f t="shared" si="7"/>
        <v>22.715833439918132</v>
      </c>
      <c r="H29" s="43">
        <f t="shared" si="8"/>
        <v>90.863333759672528</v>
      </c>
      <c r="J29" s="100"/>
      <c r="K29" s="100"/>
      <c r="L29" s="100"/>
      <c r="M29" s="100"/>
    </row>
    <row r="30" spans="1:13" x14ac:dyDescent="0.15">
      <c r="A30" s="20">
        <v>9</v>
      </c>
      <c r="B30" s="44">
        <f t="shared" si="2"/>
        <v>4.5</v>
      </c>
      <c r="C30" s="43">
        <f t="shared" si="3"/>
        <v>29</v>
      </c>
      <c r="D30" s="43">
        <f t="shared" si="4"/>
        <v>0</v>
      </c>
      <c r="E30" s="43">
        <f t="shared" si="5"/>
        <v>29</v>
      </c>
      <c r="F30" s="46">
        <f t="shared" si="6"/>
        <v>0.75975228067554545</v>
      </c>
      <c r="G30" s="43">
        <f t="shared" si="7"/>
        <v>22.032816139590818</v>
      </c>
      <c r="H30" s="43">
        <f t="shared" si="8"/>
        <v>99.147672628158674</v>
      </c>
      <c r="J30" s="100"/>
      <c r="K30" s="100"/>
      <c r="L30" s="100"/>
      <c r="M30" s="100"/>
    </row>
    <row r="31" spans="1:13" x14ac:dyDescent="0.15">
      <c r="A31" s="20">
        <v>10</v>
      </c>
      <c r="B31" s="44">
        <f t="shared" si="2"/>
        <v>5</v>
      </c>
      <c r="C31" s="43">
        <f t="shared" si="3"/>
        <v>29</v>
      </c>
      <c r="D31" s="43">
        <f t="shared" si="4"/>
        <v>0</v>
      </c>
      <c r="E31" s="43">
        <f t="shared" si="5"/>
        <v>29</v>
      </c>
      <c r="F31" s="46">
        <f t="shared" si="6"/>
        <v>0.73690812868627109</v>
      </c>
      <c r="G31" s="43">
        <f t="shared" si="7"/>
        <v>21.370335731901861</v>
      </c>
      <c r="H31" s="43">
        <f t="shared" si="8"/>
        <v>106.8516786595093</v>
      </c>
      <c r="J31" s="100"/>
      <c r="K31" s="100"/>
      <c r="L31" s="100"/>
      <c r="M31" s="100"/>
    </row>
    <row r="32" spans="1:13" x14ac:dyDescent="0.15">
      <c r="A32" s="20">
        <v>11</v>
      </c>
      <c r="B32" s="44">
        <f t="shared" si="2"/>
        <v>5.5</v>
      </c>
      <c r="C32" s="43">
        <f t="shared" si="3"/>
        <v>29</v>
      </c>
      <c r="D32" s="43">
        <f t="shared" si="4"/>
        <v>0</v>
      </c>
      <c r="E32" s="43">
        <f t="shared" si="5"/>
        <v>29</v>
      </c>
      <c r="F32" s="46">
        <f t="shared" si="6"/>
        <v>0.71475085226602442</v>
      </c>
      <c r="G32" s="43">
        <f t="shared" si="7"/>
        <v>20.727774715714709</v>
      </c>
      <c r="H32" s="43">
        <f t="shared" si="8"/>
        <v>114.0027609364309</v>
      </c>
    </row>
    <row r="33" spans="1:13" x14ac:dyDescent="0.15">
      <c r="A33" s="20">
        <v>12</v>
      </c>
      <c r="B33" s="44">
        <f t="shared" si="2"/>
        <v>6</v>
      </c>
      <c r="C33" s="43">
        <f t="shared" si="3"/>
        <v>29</v>
      </c>
      <c r="D33" s="43">
        <f t="shared" si="4"/>
        <v>0</v>
      </c>
      <c r="E33" s="43">
        <f t="shared" si="5"/>
        <v>29</v>
      </c>
      <c r="F33" s="46">
        <f t="shared" si="6"/>
        <v>0.69325979851214781</v>
      </c>
      <c r="G33" s="43">
        <f t="shared" si="7"/>
        <v>20.104534156852285</v>
      </c>
      <c r="H33" s="43">
        <f t="shared" si="8"/>
        <v>120.62720494111372</v>
      </c>
    </row>
    <row r="34" spans="1:13" x14ac:dyDescent="0.15">
      <c r="A34" s="20">
        <v>13</v>
      </c>
      <c r="B34" s="44">
        <f t="shared" si="2"/>
        <v>6.5</v>
      </c>
      <c r="C34" s="43">
        <f t="shared" si="3"/>
        <v>29</v>
      </c>
      <c r="D34" s="43">
        <f t="shared" si="4"/>
        <v>0</v>
      </c>
      <c r="E34" s="43">
        <f t="shared" si="5"/>
        <v>29</v>
      </c>
      <c r="F34" s="46">
        <f t="shared" si="6"/>
        <v>0.67241493551129761</v>
      </c>
      <c r="G34" s="43">
        <f t="shared" si="7"/>
        <v>19.500033129827631</v>
      </c>
      <c r="H34" s="43">
        <f t="shared" si="8"/>
        <v>126.7502153438796</v>
      </c>
    </row>
    <row r="35" spans="1:13" x14ac:dyDescent="0.15">
      <c r="A35" s="20">
        <v>14</v>
      </c>
      <c r="B35" s="44">
        <f t="shared" si="2"/>
        <v>7</v>
      </c>
      <c r="C35" s="43">
        <f t="shared" si="3"/>
        <v>29</v>
      </c>
      <c r="D35" s="43">
        <f t="shared" si="4"/>
        <v>1000</v>
      </c>
      <c r="E35" s="43">
        <f t="shared" si="5"/>
        <v>1029</v>
      </c>
      <c r="F35" s="46">
        <f t="shared" si="6"/>
        <v>0.65219683366760206</v>
      </c>
      <c r="G35" s="43">
        <f t="shared" si="7"/>
        <v>671.11054184396255</v>
      </c>
      <c r="H35" s="43">
        <f t="shared" si="8"/>
        <v>4697.7737929077375</v>
      </c>
    </row>
    <row r="37" spans="1:13" x14ac:dyDescent="0.15">
      <c r="A37" s="90" t="s">
        <v>108</v>
      </c>
      <c r="B37" s="90"/>
      <c r="C37" s="90"/>
      <c r="D37" s="90"/>
      <c r="E37" s="90"/>
      <c r="F37" s="90"/>
      <c r="G37" s="90"/>
      <c r="H37" s="90"/>
    </row>
    <row r="38" spans="1:13" ht="14" customHeight="1" x14ac:dyDescent="0.15">
      <c r="A38" s="101" t="s">
        <v>109</v>
      </c>
      <c r="B38" s="101"/>
      <c r="C38" s="101"/>
      <c r="D38" s="101"/>
      <c r="E38" s="101"/>
      <c r="F38" s="101"/>
      <c r="G38" s="101"/>
      <c r="H38" s="101"/>
    </row>
    <row r="39" spans="1:13" x14ac:dyDescent="0.15">
      <c r="A39" s="101"/>
      <c r="B39" s="101"/>
      <c r="C39" s="101"/>
      <c r="D39" s="101"/>
      <c r="E39" s="101"/>
      <c r="F39" s="101"/>
      <c r="G39" s="101"/>
      <c r="H39" s="101"/>
    </row>
    <row r="40" spans="1:13" x14ac:dyDescent="0.15">
      <c r="A40" s="101"/>
      <c r="B40" s="101"/>
      <c r="C40" s="101"/>
      <c r="D40" s="101"/>
      <c r="E40" s="101"/>
      <c r="F40" s="101"/>
      <c r="G40" s="101"/>
      <c r="H40" s="101"/>
    </row>
    <row r="41" spans="1:13" x14ac:dyDescent="0.15">
      <c r="A41" s="101"/>
      <c r="B41" s="101"/>
      <c r="C41" s="101"/>
      <c r="D41" s="101"/>
      <c r="E41" s="101"/>
      <c r="F41" s="101"/>
      <c r="G41" s="101"/>
      <c r="H41" s="101"/>
    </row>
    <row r="42" spans="1:13" x14ac:dyDescent="0.15">
      <c r="A42" s="101"/>
      <c r="B42" s="101"/>
      <c r="C42" s="101"/>
      <c r="D42" s="101"/>
      <c r="E42" s="101"/>
      <c r="F42" s="101"/>
      <c r="G42" s="101"/>
      <c r="H42" s="101"/>
    </row>
    <row r="43" spans="1:13" x14ac:dyDescent="0.15">
      <c r="A43" s="101"/>
      <c r="B43" s="101"/>
      <c r="C43" s="101"/>
      <c r="D43" s="101"/>
      <c r="E43" s="101"/>
      <c r="F43" s="101"/>
      <c r="G43" s="101"/>
      <c r="H43" s="101"/>
    </row>
    <row r="44" spans="1:13" x14ac:dyDescent="0.15">
      <c r="A44" s="101"/>
      <c r="B44" s="101"/>
      <c r="C44" s="101"/>
      <c r="D44" s="101"/>
      <c r="E44" s="101"/>
      <c r="F44" s="101"/>
      <c r="G44" s="101"/>
      <c r="H44" s="101"/>
    </row>
    <row r="46" spans="1:13" ht="16.5" customHeight="1" x14ac:dyDescent="0.2">
      <c r="A46" s="99" t="s">
        <v>75</v>
      </c>
      <c r="B46" s="99"/>
      <c r="C46" s="99"/>
      <c r="D46" s="99"/>
      <c r="E46" s="99"/>
      <c r="F46" s="99"/>
      <c r="G46" s="99"/>
      <c r="H46" s="99"/>
      <c r="I46" s="99"/>
      <c r="J46" s="99"/>
      <c r="K46" s="99"/>
      <c r="L46" s="99"/>
      <c r="M46" s="99"/>
    </row>
    <row r="47" spans="1:13" ht="13.5" customHeight="1" x14ac:dyDescent="0.15">
      <c r="A47" s="98" t="s">
        <v>110</v>
      </c>
      <c r="B47" s="98"/>
      <c r="C47" s="98"/>
      <c r="D47" s="98"/>
      <c r="E47" s="98"/>
      <c r="F47" s="98"/>
      <c r="G47" s="98"/>
      <c r="H47" s="98"/>
      <c r="I47" s="98"/>
      <c r="J47" s="98"/>
      <c r="K47" s="98"/>
      <c r="L47" s="98"/>
      <c r="M47" s="98"/>
    </row>
    <row r="48" spans="1:13" x14ac:dyDescent="0.15">
      <c r="A48" s="98"/>
      <c r="B48" s="98"/>
      <c r="C48" s="98"/>
      <c r="D48" s="98"/>
      <c r="E48" s="98"/>
      <c r="F48" s="98"/>
      <c r="G48" s="98"/>
      <c r="H48" s="98"/>
      <c r="I48" s="98"/>
      <c r="J48" s="98"/>
      <c r="K48" s="98"/>
      <c r="L48" s="98"/>
      <c r="M48" s="98"/>
    </row>
    <row r="49" spans="1:13" x14ac:dyDescent="0.15">
      <c r="A49" s="98"/>
      <c r="B49" s="98"/>
      <c r="C49" s="98"/>
      <c r="D49" s="98"/>
      <c r="E49" s="98"/>
      <c r="F49" s="98"/>
      <c r="G49" s="98"/>
      <c r="H49" s="98"/>
      <c r="I49" s="98"/>
      <c r="J49" s="98"/>
      <c r="K49" s="98"/>
      <c r="L49" s="98"/>
      <c r="M49" s="98"/>
    </row>
    <row r="50" spans="1:13" x14ac:dyDescent="0.15">
      <c r="A50" s="98"/>
      <c r="B50" s="98"/>
      <c r="C50" s="98"/>
      <c r="D50" s="98"/>
      <c r="E50" s="98"/>
      <c r="F50" s="98"/>
      <c r="G50" s="98"/>
      <c r="H50" s="98"/>
      <c r="I50" s="98"/>
      <c r="J50" s="98"/>
      <c r="K50" s="98"/>
      <c r="L50" s="98"/>
      <c r="M50" s="98"/>
    </row>
    <row r="51" spans="1:13" x14ac:dyDescent="0.15">
      <c r="A51" s="98"/>
      <c r="B51" s="98"/>
      <c r="C51" s="98"/>
      <c r="D51" s="98"/>
      <c r="E51" s="98"/>
      <c r="F51" s="98"/>
      <c r="G51" s="98"/>
      <c r="H51" s="98"/>
      <c r="I51" s="98"/>
      <c r="J51" s="98"/>
      <c r="K51" s="98"/>
      <c r="L51" s="98"/>
      <c r="M51" s="98"/>
    </row>
    <row r="52" spans="1:13" x14ac:dyDescent="0.15">
      <c r="A52" s="98"/>
      <c r="B52" s="98"/>
      <c r="C52" s="98"/>
      <c r="D52" s="98"/>
      <c r="E52" s="98"/>
      <c r="F52" s="98"/>
      <c r="G52" s="98"/>
      <c r="H52" s="98"/>
      <c r="I52" s="98"/>
      <c r="J52" s="98"/>
      <c r="K52" s="98"/>
      <c r="L52" s="98"/>
      <c r="M52" s="98"/>
    </row>
    <row r="53" spans="1:13" x14ac:dyDescent="0.15">
      <c r="A53" s="98"/>
      <c r="B53" s="98"/>
      <c r="C53" s="98"/>
      <c r="D53" s="98"/>
      <c r="E53" s="98"/>
      <c r="F53" s="98"/>
      <c r="G53" s="98"/>
      <c r="H53" s="98"/>
      <c r="I53" s="98"/>
      <c r="J53" s="98"/>
      <c r="K53" s="98"/>
      <c r="L53" s="98"/>
      <c r="M53" s="98"/>
    </row>
    <row r="54" spans="1:13" x14ac:dyDescent="0.15">
      <c r="A54" s="98"/>
      <c r="B54" s="98"/>
      <c r="C54" s="98"/>
      <c r="D54" s="98"/>
      <c r="E54" s="98"/>
      <c r="F54" s="98"/>
      <c r="G54" s="98"/>
      <c r="H54" s="98"/>
      <c r="I54" s="98"/>
      <c r="J54" s="98"/>
      <c r="K54" s="98"/>
      <c r="L54" s="98"/>
      <c r="M54" s="98"/>
    </row>
    <row r="55" spans="1:13" x14ac:dyDescent="0.15">
      <c r="A55" s="98"/>
      <c r="B55" s="98"/>
      <c r="C55" s="98"/>
      <c r="D55" s="98"/>
      <c r="E55" s="98"/>
      <c r="F55" s="98"/>
      <c r="G55" s="98"/>
      <c r="H55" s="98"/>
      <c r="I55" s="98"/>
      <c r="J55" s="98"/>
      <c r="K55" s="98"/>
      <c r="L55" s="98"/>
      <c r="M55" s="98"/>
    </row>
    <row r="56" spans="1:13" x14ac:dyDescent="0.15">
      <c r="A56" s="98"/>
      <c r="B56" s="98"/>
      <c r="C56" s="98"/>
      <c r="D56" s="98"/>
      <c r="E56" s="98"/>
      <c r="F56" s="98"/>
      <c r="G56" s="98"/>
      <c r="H56" s="98"/>
      <c r="I56" s="98"/>
      <c r="J56" s="98"/>
      <c r="K56" s="98"/>
      <c r="L56" s="98"/>
      <c r="M56" s="98"/>
    </row>
    <row r="57" spans="1:13" x14ac:dyDescent="0.15">
      <c r="A57" s="98"/>
      <c r="B57" s="98"/>
      <c r="C57" s="98"/>
      <c r="D57" s="98"/>
      <c r="E57" s="98"/>
      <c r="F57" s="98"/>
      <c r="G57" s="98"/>
      <c r="H57" s="98"/>
      <c r="I57" s="98"/>
      <c r="J57" s="98"/>
      <c r="K57" s="98"/>
      <c r="L57" s="98"/>
      <c r="M57" s="98"/>
    </row>
    <row r="58" spans="1:13" x14ac:dyDescent="0.15">
      <c r="A58" s="98"/>
      <c r="B58" s="98"/>
      <c r="C58" s="98"/>
      <c r="D58" s="98"/>
      <c r="E58" s="98"/>
      <c r="F58" s="98"/>
      <c r="G58" s="98"/>
      <c r="H58" s="98"/>
      <c r="I58" s="98"/>
      <c r="J58" s="98"/>
      <c r="K58" s="98"/>
      <c r="L58" s="98"/>
      <c r="M58" s="98"/>
    </row>
    <row r="59" spans="1:13" x14ac:dyDescent="0.15">
      <c r="A59" s="98"/>
      <c r="B59" s="98"/>
      <c r="C59" s="98"/>
      <c r="D59" s="98"/>
      <c r="E59" s="98"/>
      <c r="F59" s="98"/>
      <c r="G59" s="98"/>
      <c r="H59" s="98"/>
      <c r="I59" s="98"/>
      <c r="J59" s="98"/>
      <c r="K59" s="98"/>
      <c r="L59" s="98"/>
      <c r="M59" s="98"/>
    </row>
    <row r="60" spans="1:13" x14ac:dyDescent="0.15">
      <c r="A60" s="98"/>
      <c r="B60" s="98"/>
      <c r="C60" s="98"/>
      <c r="D60" s="98"/>
      <c r="E60" s="98"/>
      <c r="F60" s="98"/>
      <c r="G60" s="98"/>
      <c r="H60" s="98"/>
      <c r="I60" s="98"/>
      <c r="J60" s="98"/>
      <c r="K60" s="98"/>
      <c r="L60" s="98"/>
      <c r="M60" s="98"/>
    </row>
    <row r="61" spans="1:13" x14ac:dyDescent="0.15">
      <c r="A61" s="98"/>
      <c r="B61" s="98"/>
      <c r="C61" s="98"/>
      <c r="D61" s="98"/>
      <c r="E61" s="98"/>
      <c r="F61" s="98"/>
      <c r="G61" s="98"/>
      <c r="H61" s="98"/>
      <c r="I61" s="98"/>
      <c r="J61" s="98"/>
      <c r="K61" s="98"/>
      <c r="L61" s="98"/>
      <c r="M61" s="98"/>
    </row>
    <row r="62" spans="1:13" x14ac:dyDescent="0.15">
      <c r="A62" s="98"/>
      <c r="B62" s="98"/>
      <c r="C62" s="98"/>
      <c r="D62" s="98"/>
      <c r="E62" s="98"/>
      <c r="F62" s="98"/>
      <c r="G62" s="98"/>
      <c r="H62" s="98"/>
      <c r="I62" s="98"/>
      <c r="J62" s="98"/>
      <c r="K62" s="98"/>
      <c r="L62" s="98"/>
      <c r="M62" s="98"/>
    </row>
    <row r="63" spans="1:13" x14ac:dyDescent="0.15">
      <c r="A63" s="98"/>
      <c r="B63" s="98"/>
      <c r="C63" s="98"/>
      <c r="D63" s="98"/>
      <c r="E63" s="98"/>
      <c r="F63" s="98"/>
      <c r="G63" s="98"/>
      <c r="H63" s="98"/>
      <c r="I63" s="98"/>
      <c r="J63" s="98"/>
      <c r="K63" s="98"/>
      <c r="L63" s="98"/>
      <c r="M63" s="98"/>
    </row>
  </sheetData>
  <mergeCells count="7">
    <mergeCell ref="A46:M46"/>
    <mergeCell ref="A47:M63"/>
    <mergeCell ref="A1:M1"/>
    <mergeCell ref="J24:M24"/>
    <mergeCell ref="J25:M31"/>
    <mergeCell ref="A37:H37"/>
    <mergeCell ref="A38:H44"/>
  </mergeCells>
  <pageMargins left="0.7" right="0.7" top="0.75" bottom="0.75" header="0.511811023622047" footer="0.511811023622047"/>
  <pageSetup paperSize="9"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47"/>
  <sheetViews>
    <sheetView showGridLines="0" topLeftCell="A28" zoomScaleNormal="100" workbookViewId="0">
      <selection activeCell="A34" sqref="A34:J47"/>
    </sheetView>
  </sheetViews>
  <sheetFormatPr baseColWidth="10" defaultColWidth="9.1640625" defaultRowHeight="14" x14ac:dyDescent="0.15"/>
  <cols>
    <col min="1" max="1" width="16" style="20" customWidth="1"/>
    <col min="2" max="5" width="14" style="20" customWidth="1"/>
    <col min="6" max="6" width="16" style="20" customWidth="1"/>
    <col min="7" max="9" width="14" style="20" customWidth="1"/>
    <col min="10" max="10" width="30" style="20" customWidth="1"/>
    <col min="11" max="16384" width="9.1640625" style="20"/>
  </cols>
  <sheetData>
    <row r="1" spans="1:10" ht="24" customHeight="1" x14ac:dyDescent="0.15">
      <c r="A1" s="102" t="s">
        <v>111</v>
      </c>
      <c r="B1" s="103"/>
      <c r="C1" s="103"/>
      <c r="D1" s="103"/>
      <c r="E1" s="103"/>
      <c r="F1" s="103"/>
      <c r="G1" s="103"/>
      <c r="H1" s="103"/>
      <c r="I1" s="103"/>
      <c r="J1" s="103"/>
    </row>
    <row r="2" spans="1:10" x14ac:dyDescent="0.15">
      <c r="A2" s="21"/>
      <c r="B2" s="21"/>
      <c r="C2" s="21"/>
      <c r="D2" s="21"/>
      <c r="E2" s="21"/>
      <c r="F2" s="21"/>
      <c r="G2" s="21"/>
      <c r="H2" s="21"/>
      <c r="I2" s="21"/>
      <c r="J2" s="21"/>
    </row>
    <row r="3" spans="1:10" x14ac:dyDescent="0.15">
      <c r="A3" s="21"/>
      <c r="B3" s="21"/>
      <c r="C3" s="21"/>
      <c r="D3" s="21"/>
      <c r="E3" s="21"/>
      <c r="F3" s="21"/>
      <c r="G3" s="21"/>
      <c r="H3" s="21"/>
      <c r="I3" s="21"/>
      <c r="J3" s="21"/>
    </row>
    <row r="4" spans="1:10" x14ac:dyDescent="0.15">
      <c r="A4" s="21"/>
      <c r="B4" s="21"/>
      <c r="C4" s="21"/>
      <c r="D4" s="21"/>
      <c r="E4" s="21"/>
      <c r="F4" s="21"/>
      <c r="G4" s="21"/>
      <c r="H4" s="21"/>
      <c r="I4" s="21"/>
      <c r="J4" s="21"/>
    </row>
    <row r="5" spans="1:10" ht="16.5" customHeight="1" x14ac:dyDescent="0.15">
      <c r="A5" s="24" t="s">
        <v>58</v>
      </c>
      <c r="B5" s="21"/>
      <c r="C5" s="21"/>
      <c r="D5" s="21"/>
      <c r="E5" s="21"/>
      <c r="F5" s="21"/>
      <c r="G5" s="21"/>
      <c r="H5" s="21"/>
      <c r="I5" s="21"/>
      <c r="J5" s="21"/>
    </row>
    <row r="6" spans="1:10" x14ac:dyDescent="0.15">
      <c r="A6" s="47" t="s">
        <v>86</v>
      </c>
      <c r="B6" s="55">
        <v>1000</v>
      </c>
      <c r="C6" s="21"/>
      <c r="D6" s="21"/>
      <c r="E6" s="21"/>
      <c r="F6" s="21"/>
      <c r="G6" s="21"/>
      <c r="H6" s="90" t="s">
        <v>112</v>
      </c>
      <c r="I6" s="90"/>
      <c r="J6" s="90"/>
    </row>
    <row r="7" spans="1:10" ht="14" customHeight="1" x14ac:dyDescent="0.15">
      <c r="A7" s="47" t="s">
        <v>90</v>
      </c>
      <c r="B7" s="52">
        <v>4.7500000000000001E-2</v>
      </c>
      <c r="C7" s="21"/>
      <c r="D7" s="21"/>
      <c r="E7" s="21"/>
      <c r="F7" s="21"/>
      <c r="G7" s="21"/>
      <c r="H7" s="101" t="s">
        <v>113</v>
      </c>
      <c r="I7" s="101"/>
      <c r="J7" s="101"/>
    </row>
    <row r="8" spans="1:10" x14ac:dyDescent="0.15">
      <c r="A8" s="47" t="s">
        <v>114</v>
      </c>
      <c r="B8" s="55">
        <v>978.4</v>
      </c>
      <c r="C8" s="21"/>
      <c r="D8" s="21"/>
      <c r="E8" s="21"/>
      <c r="F8" s="21"/>
      <c r="G8" s="21"/>
      <c r="H8" s="101"/>
      <c r="I8" s="101"/>
      <c r="J8" s="101"/>
    </row>
    <row r="9" spans="1:10" x14ac:dyDescent="0.15">
      <c r="A9" s="47" t="s">
        <v>64</v>
      </c>
      <c r="B9" s="51">
        <v>6</v>
      </c>
      <c r="C9" s="21"/>
      <c r="D9" s="21"/>
      <c r="E9" s="21"/>
      <c r="F9" s="21"/>
      <c r="G9" s="21"/>
      <c r="H9" s="101"/>
      <c r="I9" s="101"/>
      <c r="J9" s="101"/>
    </row>
    <row r="10" spans="1:10" x14ac:dyDescent="0.15">
      <c r="A10" s="47" t="s">
        <v>93</v>
      </c>
      <c r="B10" s="51">
        <v>2</v>
      </c>
      <c r="C10" s="21"/>
      <c r="D10" s="21"/>
      <c r="E10" s="21"/>
      <c r="F10" s="21"/>
      <c r="G10" s="21"/>
      <c r="H10" s="101"/>
      <c r="I10" s="101"/>
      <c r="J10" s="101"/>
    </row>
    <row r="11" spans="1:10" x14ac:dyDescent="0.15">
      <c r="A11" s="21"/>
      <c r="B11" s="21"/>
      <c r="C11" s="21"/>
      <c r="D11" s="21"/>
      <c r="E11" s="21"/>
      <c r="F11" s="21"/>
      <c r="G11" s="21"/>
      <c r="H11" s="101"/>
      <c r="I11" s="101"/>
      <c r="J11" s="101"/>
    </row>
    <row r="12" spans="1:10" x14ac:dyDescent="0.15">
      <c r="A12" s="21" t="s">
        <v>94</v>
      </c>
      <c r="B12" s="33">
        <f>B6*B7/B10</f>
        <v>23.75</v>
      </c>
      <c r="C12" s="21"/>
      <c r="D12" s="21"/>
      <c r="E12" s="21"/>
      <c r="F12" s="21"/>
      <c r="G12" s="21"/>
      <c r="H12" s="101"/>
      <c r="I12" s="101"/>
      <c r="J12" s="101"/>
    </row>
    <row r="13" spans="1:10" x14ac:dyDescent="0.15">
      <c r="A13" s="21" t="s">
        <v>115</v>
      </c>
      <c r="B13" s="57">
        <v>0.01</v>
      </c>
      <c r="C13" s="21"/>
      <c r="D13" s="21"/>
      <c r="E13" s="21"/>
      <c r="F13" s="21"/>
      <c r="G13" s="21"/>
      <c r="H13" s="101"/>
      <c r="I13" s="101"/>
      <c r="J13" s="101"/>
    </row>
    <row r="14" spans="1:10" x14ac:dyDescent="0.15">
      <c r="A14" s="21" t="s">
        <v>116</v>
      </c>
      <c r="B14" s="57">
        <v>0.15</v>
      </c>
      <c r="C14" s="21"/>
      <c r="D14" s="21"/>
      <c r="E14" s="21"/>
      <c r="F14" s="21"/>
      <c r="G14" s="21"/>
      <c r="H14" s="101"/>
      <c r="I14" s="101"/>
      <c r="J14" s="101"/>
    </row>
    <row r="15" spans="1:10" x14ac:dyDescent="0.15">
      <c r="A15" s="22" t="s">
        <v>26</v>
      </c>
      <c r="B15" s="48">
        <f>D30</f>
        <v>5.1741943359374994E-2</v>
      </c>
      <c r="C15" s="21"/>
      <c r="D15" s="21"/>
      <c r="E15" s="21"/>
      <c r="F15" s="21"/>
      <c r="G15" s="21"/>
      <c r="H15" s="21"/>
      <c r="I15" s="21"/>
      <c r="J15" s="21"/>
    </row>
    <row r="16" spans="1:10" x14ac:dyDescent="0.15">
      <c r="A16" s="22" t="s">
        <v>117</v>
      </c>
      <c r="B16" s="22" t="s">
        <v>118</v>
      </c>
      <c r="C16" s="22" t="s">
        <v>119</v>
      </c>
      <c r="D16" s="22" t="s">
        <v>120</v>
      </c>
      <c r="E16" s="22" t="s">
        <v>121</v>
      </c>
      <c r="F16" s="22" t="s">
        <v>122</v>
      </c>
      <c r="G16" s="22" t="s">
        <v>123</v>
      </c>
      <c r="H16" s="21"/>
      <c r="I16" s="21"/>
      <c r="J16" s="21"/>
    </row>
    <row r="17" spans="1:10" x14ac:dyDescent="0.15">
      <c r="A17" s="21">
        <v>1</v>
      </c>
      <c r="B17" s="49">
        <f>$B$13</f>
        <v>0.01</v>
      </c>
      <c r="C17" s="49">
        <f>$B$14</f>
        <v>0.15</v>
      </c>
      <c r="D17" s="49">
        <f t="shared" ref="D17:D30" si="0">(B17+C17)/2</f>
        <v>0.08</v>
      </c>
      <c r="E17" s="33">
        <f t="shared" ref="E17:E30" si="1">$B$12*(1-(1+D17/$B$10)^(-$B$9*$B$10))/(D17/$B$10)+$B$6*(1+D17/$B$10)^(-$B$9*$B$10)</f>
        <v>847.49255139190143</v>
      </c>
      <c r="F17" s="33">
        <f t="shared" ref="F17:F30" si="2">E17-$B$8</f>
        <v>-130.90744860809855</v>
      </c>
      <c r="G17" s="50" t="str">
        <f t="shared" ref="G17:G30" si="3">IF(ABS(F17)&lt;0.0001,"Converged",IF(F17&gt;0,"Low=Mid","High=Mid"))</f>
        <v>High=Mid</v>
      </c>
      <c r="H17" s="21"/>
      <c r="I17" s="21"/>
      <c r="J17" s="21"/>
    </row>
    <row r="18" spans="1:10" x14ac:dyDescent="0.15">
      <c r="A18" s="21">
        <v>2</v>
      </c>
      <c r="B18" s="49">
        <f t="shared" ref="B18:B30" si="4">IF(F17&gt;0,D17,B17)</f>
        <v>0.01</v>
      </c>
      <c r="C18" s="49">
        <f t="shared" ref="C18:C30" si="5">IF(F17&gt;0,C17,D17)</f>
        <v>0.08</v>
      </c>
      <c r="D18" s="49">
        <f t="shared" si="0"/>
        <v>4.4999999999999998E-2</v>
      </c>
      <c r="E18" s="33">
        <f t="shared" si="1"/>
        <v>1013.0184735252283</v>
      </c>
      <c r="F18" s="33">
        <f t="shared" si="2"/>
        <v>34.618473525228296</v>
      </c>
      <c r="G18" s="50" t="str">
        <f t="shared" si="3"/>
        <v>Low=Mid</v>
      </c>
      <c r="H18" s="21"/>
      <c r="I18" s="21"/>
      <c r="J18" s="21"/>
    </row>
    <row r="19" spans="1:10" x14ac:dyDescent="0.15">
      <c r="A19" s="21">
        <v>3</v>
      </c>
      <c r="B19" s="49">
        <f t="shared" si="4"/>
        <v>4.4999999999999998E-2</v>
      </c>
      <c r="C19" s="49">
        <f t="shared" si="5"/>
        <v>0.08</v>
      </c>
      <c r="D19" s="49">
        <f t="shared" si="0"/>
        <v>6.25E-2</v>
      </c>
      <c r="E19" s="33">
        <f t="shared" si="1"/>
        <v>925.8989750969464</v>
      </c>
      <c r="F19" s="33">
        <f t="shared" si="2"/>
        <v>-52.501024903053576</v>
      </c>
      <c r="G19" s="50" t="str">
        <f t="shared" si="3"/>
        <v>High=Mid</v>
      </c>
      <c r="H19" s="21"/>
      <c r="I19" s="21"/>
      <c r="J19" s="21"/>
    </row>
    <row r="20" spans="1:10" x14ac:dyDescent="0.15">
      <c r="A20" s="21">
        <v>4</v>
      </c>
      <c r="B20" s="49">
        <f t="shared" si="4"/>
        <v>4.4999999999999998E-2</v>
      </c>
      <c r="C20" s="49">
        <f t="shared" si="5"/>
        <v>6.25E-2</v>
      </c>
      <c r="D20" s="49">
        <f t="shared" si="0"/>
        <v>5.3749999999999999E-2</v>
      </c>
      <c r="E20" s="33">
        <f t="shared" si="1"/>
        <v>968.30538991229696</v>
      </c>
      <c r="F20" s="33">
        <f t="shared" si="2"/>
        <v>-10.094610087703018</v>
      </c>
      <c r="G20" s="50" t="str">
        <f t="shared" si="3"/>
        <v>High=Mid</v>
      </c>
      <c r="H20" s="21"/>
      <c r="I20" s="21"/>
      <c r="J20" s="21"/>
    </row>
    <row r="21" spans="1:10" x14ac:dyDescent="0.15">
      <c r="A21" s="21">
        <v>5</v>
      </c>
      <c r="B21" s="49">
        <f t="shared" si="4"/>
        <v>4.4999999999999998E-2</v>
      </c>
      <c r="C21" s="49">
        <f t="shared" si="5"/>
        <v>5.3749999999999999E-2</v>
      </c>
      <c r="D21" s="49">
        <f t="shared" si="0"/>
        <v>4.9375000000000002E-2</v>
      </c>
      <c r="E21" s="33">
        <f t="shared" si="1"/>
        <v>990.36512443127231</v>
      </c>
      <c r="F21" s="33">
        <f t="shared" si="2"/>
        <v>11.965124431272329</v>
      </c>
      <c r="G21" s="50" t="str">
        <f t="shared" si="3"/>
        <v>Low=Mid</v>
      </c>
      <c r="H21" s="21"/>
      <c r="I21" s="21"/>
      <c r="J21" s="21"/>
    </row>
    <row r="22" spans="1:10" x14ac:dyDescent="0.15">
      <c r="A22" s="21">
        <v>6</v>
      </c>
      <c r="B22" s="49">
        <f t="shared" si="4"/>
        <v>4.9375000000000002E-2</v>
      </c>
      <c r="C22" s="49">
        <f t="shared" si="5"/>
        <v>5.3749999999999999E-2</v>
      </c>
      <c r="D22" s="49">
        <f t="shared" si="0"/>
        <v>5.1562499999999997E-2</v>
      </c>
      <c r="E22" s="33">
        <f t="shared" si="1"/>
        <v>979.26213547672569</v>
      </c>
      <c r="F22" s="33">
        <f t="shared" si="2"/>
        <v>0.86213547672571167</v>
      </c>
      <c r="G22" s="50" t="str">
        <f t="shared" si="3"/>
        <v>Low=Mid</v>
      </c>
      <c r="H22" s="21"/>
      <c r="I22" s="21"/>
      <c r="J22" s="21"/>
    </row>
    <row r="23" spans="1:10" x14ac:dyDescent="0.15">
      <c r="A23" s="21">
        <v>7</v>
      </c>
      <c r="B23" s="49">
        <f t="shared" si="4"/>
        <v>5.1562499999999997E-2</v>
      </c>
      <c r="C23" s="49">
        <f t="shared" si="5"/>
        <v>5.3749999999999999E-2</v>
      </c>
      <c r="D23" s="49">
        <f t="shared" si="0"/>
        <v>5.2656250000000002E-2</v>
      </c>
      <c r="E23" s="33">
        <f t="shared" si="1"/>
        <v>973.76561542863419</v>
      </c>
      <c r="F23" s="33">
        <f t="shared" si="2"/>
        <v>-4.6343845713657856</v>
      </c>
      <c r="G23" s="50" t="str">
        <f t="shared" si="3"/>
        <v>High=Mid</v>
      </c>
      <c r="H23" s="21"/>
      <c r="I23" s="21"/>
      <c r="J23" s="21"/>
    </row>
    <row r="24" spans="1:10" x14ac:dyDescent="0.15">
      <c r="A24" s="21">
        <v>8</v>
      </c>
      <c r="B24" s="49">
        <f t="shared" si="4"/>
        <v>5.1562499999999997E-2</v>
      </c>
      <c r="C24" s="49">
        <f t="shared" si="5"/>
        <v>5.2656250000000002E-2</v>
      </c>
      <c r="D24" s="49">
        <f t="shared" si="0"/>
        <v>5.2109374999999999E-2</v>
      </c>
      <c r="E24" s="33">
        <f t="shared" si="1"/>
        <v>976.50932207350957</v>
      </c>
      <c r="F24" s="33">
        <f t="shared" si="2"/>
        <v>-1.8906779264904117</v>
      </c>
      <c r="G24" s="50" t="str">
        <f t="shared" si="3"/>
        <v>High=Mid</v>
      </c>
      <c r="H24" s="21"/>
      <c r="I24" s="21"/>
      <c r="J24" s="21"/>
    </row>
    <row r="25" spans="1:10" x14ac:dyDescent="0.15">
      <c r="A25" s="21">
        <v>9</v>
      </c>
      <c r="B25" s="49">
        <f t="shared" si="4"/>
        <v>5.1562499999999997E-2</v>
      </c>
      <c r="C25" s="49">
        <f t="shared" si="5"/>
        <v>5.2109374999999999E-2</v>
      </c>
      <c r="D25" s="49">
        <f t="shared" si="0"/>
        <v>5.1835937499999998E-2</v>
      </c>
      <c r="E25" s="33">
        <f t="shared" si="1"/>
        <v>977.88458835283677</v>
      </c>
      <c r="F25" s="33">
        <f t="shared" si="2"/>
        <v>-0.51541164716320509</v>
      </c>
      <c r="G25" s="50" t="str">
        <f t="shared" si="3"/>
        <v>High=Mid</v>
      </c>
      <c r="H25" s="21"/>
      <c r="I25" s="21"/>
      <c r="J25" s="21"/>
    </row>
    <row r="26" spans="1:10" x14ac:dyDescent="0.15">
      <c r="A26" s="21">
        <v>10</v>
      </c>
      <c r="B26" s="49">
        <f t="shared" si="4"/>
        <v>5.1562499999999997E-2</v>
      </c>
      <c r="C26" s="49">
        <f t="shared" si="5"/>
        <v>5.1835937499999998E-2</v>
      </c>
      <c r="D26" s="49">
        <f t="shared" si="0"/>
        <v>5.1699218749999998E-2</v>
      </c>
      <c r="E26" s="33">
        <f t="shared" si="1"/>
        <v>978.57307654907663</v>
      </c>
      <c r="F26" s="33">
        <f t="shared" si="2"/>
        <v>0.17307654907665437</v>
      </c>
      <c r="G26" s="50" t="str">
        <f t="shared" si="3"/>
        <v>Low=Mid</v>
      </c>
      <c r="H26" s="21"/>
      <c r="I26" s="21"/>
      <c r="J26" s="21"/>
    </row>
    <row r="27" spans="1:10" x14ac:dyDescent="0.15">
      <c r="A27" s="21">
        <v>11</v>
      </c>
      <c r="B27" s="49">
        <f t="shared" si="4"/>
        <v>5.1699218749999998E-2</v>
      </c>
      <c r="C27" s="49">
        <f t="shared" si="5"/>
        <v>5.1835937499999998E-2</v>
      </c>
      <c r="D27" s="49">
        <f t="shared" si="0"/>
        <v>5.1767578124999998E-2</v>
      </c>
      <c r="E27" s="33">
        <f t="shared" si="1"/>
        <v>978.22876114206724</v>
      </c>
      <c r="F27" s="33">
        <f t="shared" si="2"/>
        <v>-0.1712388579327353</v>
      </c>
      <c r="G27" s="50" t="str">
        <f t="shared" si="3"/>
        <v>High=Mid</v>
      </c>
      <c r="H27" s="21"/>
      <c r="I27" s="21"/>
      <c r="J27" s="21"/>
    </row>
    <row r="28" spans="1:10" x14ac:dyDescent="0.15">
      <c r="A28" s="21">
        <v>12</v>
      </c>
      <c r="B28" s="49">
        <f t="shared" si="4"/>
        <v>5.1699218749999998E-2</v>
      </c>
      <c r="C28" s="49">
        <f t="shared" si="5"/>
        <v>5.1767578124999998E-2</v>
      </c>
      <c r="D28" s="49">
        <f t="shared" si="0"/>
        <v>5.1733398437499994E-2</v>
      </c>
      <c r="E28" s="33">
        <f t="shared" si="1"/>
        <v>978.40090101428382</v>
      </c>
      <c r="F28" s="33">
        <f t="shared" si="2"/>
        <v>9.0101428384059545E-4</v>
      </c>
      <c r="G28" s="50" t="str">
        <f t="shared" si="3"/>
        <v>Low=Mid</v>
      </c>
      <c r="H28" s="21"/>
      <c r="I28" s="21"/>
      <c r="J28" s="21"/>
    </row>
    <row r="29" spans="1:10" x14ac:dyDescent="0.15">
      <c r="A29" s="21">
        <v>13</v>
      </c>
      <c r="B29" s="49">
        <f t="shared" si="4"/>
        <v>5.1733398437499994E-2</v>
      </c>
      <c r="C29" s="49">
        <f t="shared" si="5"/>
        <v>5.1767578124999998E-2</v>
      </c>
      <c r="D29" s="49">
        <f t="shared" si="0"/>
        <v>5.1750488281249993E-2</v>
      </c>
      <c r="E29" s="33">
        <f t="shared" si="1"/>
        <v>978.31482662086194</v>
      </c>
      <c r="F29" s="33">
        <f t="shared" si="2"/>
        <v>-8.5173379138041128E-2</v>
      </c>
      <c r="G29" s="50" t="str">
        <f t="shared" si="3"/>
        <v>High=Mid</v>
      </c>
      <c r="H29" s="21"/>
      <c r="I29" s="21"/>
      <c r="J29" s="21"/>
    </row>
    <row r="30" spans="1:10" x14ac:dyDescent="0.15">
      <c r="A30" s="21">
        <v>14</v>
      </c>
      <c r="B30" s="49">
        <f t="shared" si="4"/>
        <v>5.1733398437499994E-2</v>
      </c>
      <c r="C30" s="49">
        <f t="shared" si="5"/>
        <v>5.1750488281249993E-2</v>
      </c>
      <c r="D30" s="49">
        <f t="shared" si="0"/>
        <v>5.1741943359374994E-2</v>
      </c>
      <c r="E30" s="33">
        <f t="shared" si="1"/>
        <v>978.3578627031809</v>
      </c>
      <c r="F30" s="33">
        <f t="shared" si="2"/>
        <v>-4.2137296819078074E-2</v>
      </c>
      <c r="G30" s="50" t="str">
        <f t="shared" si="3"/>
        <v>High=Mid</v>
      </c>
      <c r="H30" s="21"/>
      <c r="I30" s="21"/>
      <c r="J30" s="21"/>
    </row>
    <row r="31" spans="1:10" x14ac:dyDescent="0.15">
      <c r="A31" s="29" t="s">
        <v>124</v>
      </c>
      <c r="B31" s="30">
        <f>B30</f>
        <v>5.1733398437499994E-2</v>
      </c>
      <c r="C31" s="30">
        <f>C30</f>
        <v>5.1750488281249993E-2</v>
      </c>
      <c r="D31" s="30">
        <f>D30</f>
        <v>5.1741943359374994E-2</v>
      </c>
      <c r="E31" s="33"/>
      <c r="F31" s="33"/>
      <c r="G31" s="50"/>
      <c r="H31" s="21"/>
      <c r="I31" s="21"/>
      <c r="J31" s="21"/>
    </row>
    <row r="33" spans="1:10" ht="16.5" customHeight="1" x14ac:dyDescent="0.15">
      <c r="A33" s="97" t="s">
        <v>75</v>
      </c>
      <c r="B33" s="97"/>
      <c r="C33" s="97"/>
      <c r="D33" s="97"/>
      <c r="E33" s="97"/>
      <c r="F33" s="97"/>
      <c r="G33" s="97"/>
      <c r="H33" s="97"/>
      <c r="I33" s="97"/>
      <c r="J33" s="97"/>
    </row>
    <row r="34" spans="1:10" ht="13.5" customHeight="1" x14ac:dyDescent="0.15">
      <c r="A34" s="98" t="s">
        <v>125</v>
      </c>
      <c r="B34" s="98"/>
      <c r="C34" s="98"/>
      <c r="D34" s="98"/>
      <c r="E34" s="98"/>
      <c r="F34" s="98"/>
      <c r="G34" s="98"/>
      <c r="H34" s="98"/>
      <c r="I34" s="98"/>
      <c r="J34" s="98"/>
    </row>
    <row r="35" spans="1:10" x14ac:dyDescent="0.15">
      <c r="A35" s="98"/>
      <c r="B35" s="98"/>
      <c r="C35" s="98"/>
      <c r="D35" s="98"/>
      <c r="E35" s="98"/>
      <c r="F35" s="98"/>
      <c r="G35" s="98"/>
      <c r="H35" s="98"/>
      <c r="I35" s="98"/>
      <c r="J35" s="98"/>
    </row>
    <row r="36" spans="1:10" x14ac:dyDescent="0.15">
      <c r="A36" s="98"/>
      <c r="B36" s="98"/>
      <c r="C36" s="98"/>
      <c r="D36" s="98"/>
      <c r="E36" s="98"/>
      <c r="F36" s="98"/>
      <c r="G36" s="98"/>
      <c r="H36" s="98"/>
      <c r="I36" s="98"/>
      <c r="J36" s="98"/>
    </row>
    <row r="37" spans="1:10" x14ac:dyDescent="0.15">
      <c r="A37" s="98"/>
      <c r="B37" s="98"/>
      <c r="C37" s="98"/>
      <c r="D37" s="98"/>
      <c r="E37" s="98"/>
      <c r="F37" s="98"/>
      <c r="G37" s="98"/>
      <c r="H37" s="98"/>
      <c r="I37" s="98"/>
      <c r="J37" s="98"/>
    </row>
    <row r="38" spans="1:10" x14ac:dyDescent="0.15">
      <c r="A38" s="98"/>
      <c r="B38" s="98"/>
      <c r="C38" s="98"/>
      <c r="D38" s="98"/>
      <c r="E38" s="98"/>
      <c r="F38" s="98"/>
      <c r="G38" s="98"/>
      <c r="H38" s="98"/>
      <c r="I38" s="98"/>
      <c r="J38" s="98"/>
    </row>
    <row r="39" spans="1:10" x14ac:dyDescent="0.15">
      <c r="A39" s="98"/>
      <c r="B39" s="98"/>
      <c r="C39" s="98"/>
      <c r="D39" s="98"/>
      <c r="E39" s="98"/>
      <c r="F39" s="98"/>
      <c r="G39" s="98"/>
      <c r="H39" s="98"/>
      <c r="I39" s="98"/>
      <c r="J39" s="98"/>
    </row>
    <row r="40" spans="1:10" x14ac:dyDescent="0.15">
      <c r="A40" s="98"/>
      <c r="B40" s="98"/>
      <c r="C40" s="98"/>
      <c r="D40" s="98"/>
      <c r="E40" s="98"/>
      <c r="F40" s="98"/>
      <c r="G40" s="98"/>
      <c r="H40" s="98"/>
      <c r="I40" s="98"/>
      <c r="J40" s="98"/>
    </row>
    <row r="41" spans="1:10" x14ac:dyDescent="0.15">
      <c r="A41" s="98"/>
      <c r="B41" s="98"/>
      <c r="C41" s="98"/>
      <c r="D41" s="98"/>
      <c r="E41" s="98"/>
      <c r="F41" s="98"/>
      <c r="G41" s="98"/>
      <c r="H41" s="98"/>
      <c r="I41" s="98"/>
      <c r="J41" s="98"/>
    </row>
    <row r="42" spans="1:10" x14ac:dyDescent="0.15">
      <c r="A42" s="98"/>
      <c r="B42" s="98"/>
      <c r="C42" s="98"/>
      <c r="D42" s="98"/>
      <c r="E42" s="98"/>
      <c r="F42" s="98"/>
      <c r="G42" s="98"/>
      <c r="H42" s="98"/>
      <c r="I42" s="98"/>
      <c r="J42" s="98"/>
    </row>
    <row r="43" spans="1:10" x14ac:dyDescent="0.15">
      <c r="A43" s="98"/>
      <c r="B43" s="98"/>
      <c r="C43" s="98"/>
      <c r="D43" s="98"/>
      <c r="E43" s="98"/>
      <c r="F43" s="98"/>
      <c r="G43" s="98"/>
      <c r="H43" s="98"/>
      <c r="I43" s="98"/>
      <c r="J43" s="98"/>
    </row>
    <row r="44" spans="1:10" x14ac:dyDescent="0.15">
      <c r="A44" s="98"/>
      <c r="B44" s="98"/>
      <c r="C44" s="98"/>
      <c r="D44" s="98"/>
      <c r="E44" s="98"/>
      <c r="F44" s="98"/>
      <c r="G44" s="98"/>
      <c r="H44" s="98"/>
      <c r="I44" s="98"/>
      <c r="J44" s="98"/>
    </row>
    <row r="45" spans="1:10" x14ac:dyDescent="0.15">
      <c r="A45" s="98"/>
      <c r="B45" s="98"/>
      <c r="C45" s="98"/>
      <c r="D45" s="98"/>
      <c r="E45" s="98"/>
      <c r="F45" s="98"/>
      <c r="G45" s="98"/>
      <c r="H45" s="98"/>
      <c r="I45" s="98"/>
      <c r="J45" s="98"/>
    </row>
    <row r="46" spans="1:10" x14ac:dyDescent="0.15">
      <c r="A46" s="98"/>
      <c r="B46" s="98"/>
      <c r="C46" s="98"/>
      <c r="D46" s="98"/>
      <c r="E46" s="98"/>
      <c r="F46" s="98"/>
      <c r="G46" s="98"/>
      <c r="H46" s="98"/>
      <c r="I46" s="98"/>
      <c r="J46" s="98"/>
    </row>
    <row r="47" spans="1:10" x14ac:dyDescent="0.15">
      <c r="A47" s="98"/>
      <c r="B47" s="98"/>
      <c r="C47" s="98"/>
      <c r="D47" s="98"/>
      <c r="E47" s="98"/>
      <c r="F47" s="98"/>
      <c r="G47" s="98"/>
      <c r="H47" s="98"/>
      <c r="I47" s="98"/>
      <c r="J47" s="98"/>
    </row>
  </sheetData>
  <mergeCells count="5">
    <mergeCell ref="A1:J1"/>
    <mergeCell ref="H6:J6"/>
    <mergeCell ref="H7:J14"/>
    <mergeCell ref="A33:J33"/>
    <mergeCell ref="A34:J47"/>
  </mergeCells>
  <pageMargins left="0.7" right="0.7" top="0.75" bottom="0.75"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1"/>
  <sheetViews>
    <sheetView showGridLines="0" topLeftCell="A308" zoomScaleNormal="100" workbookViewId="0">
      <selection activeCell="A319" sqref="A319:L331"/>
    </sheetView>
  </sheetViews>
  <sheetFormatPr baseColWidth="10" defaultColWidth="9.1640625" defaultRowHeight="14" x14ac:dyDescent="0.15"/>
  <cols>
    <col min="1" max="11" width="14" style="20" customWidth="1"/>
    <col min="12" max="12" width="30" style="20" customWidth="1"/>
    <col min="13" max="16384" width="9.1640625" style="20"/>
  </cols>
  <sheetData>
    <row r="1" spans="1:12" ht="24" customHeight="1" x14ac:dyDescent="0.15">
      <c r="A1" s="102" t="s">
        <v>126</v>
      </c>
      <c r="B1" s="103"/>
      <c r="C1" s="103"/>
      <c r="D1" s="103"/>
      <c r="E1" s="103"/>
      <c r="F1" s="103"/>
      <c r="G1" s="103"/>
      <c r="H1" s="103"/>
      <c r="I1" s="103"/>
      <c r="J1" s="103"/>
      <c r="K1" s="103"/>
      <c r="L1" s="103"/>
    </row>
    <row r="2" spans="1:12" x14ac:dyDescent="0.15">
      <c r="A2" s="21"/>
      <c r="B2" s="21"/>
      <c r="C2" s="21"/>
      <c r="D2" s="21"/>
      <c r="E2" s="21"/>
      <c r="F2" s="21"/>
      <c r="G2" s="21"/>
      <c r="H2" s="21"/>
      <c r="I2" s="21"/>
      <c r="J2" s="21"/>
      <c r="K2" s="21"/>
      <c r="L2" s="21"/>
    </row>
    <row r="3" spans="1:12" x14ac:dyDescent="0.15">
      <c r="A3" s="21"/>
      <c r="B3" s="21"/>
      <c r="C3" s="21"/>
      <c r="D3" s="21"/>
      <c r="E3" s="21"/>
      <c r="F3" s="21"/>
      <c r="G3" s="21"/>
      <c r="H3" s="21"/>
      <c r="I3" s="21"/>
      <c r="J3" s="21"/>
      <c r="K3" s="21"/>
      <c r="L3" s="21"/>
    </row>
    <row r="4" spans="1:12" x14ac:dyDescent="0.15">
      <c r="A4" s="21"/>
      <c r="B4" s="21"/>
      <c r="C4" s="21"/>
      <c r="D4" s="21"/>
      <c r="E4" s="21"/>
      <c r="F4" s="21"/>
      <c r="G4" s="21"/>
      <c r="H4" s="21"/>
      <c r="I4" s="21"/>
      <c r="J4" s="21"/>
      <c r="K4" s="21"/>
      <c r="L4" s="21"/>
    </row>
    <row r="5" spans="1:12" ht="16.5" customHeight="1" x14ac:dyDescent="0.15">
      <c r="A5" s="24" t="s">
        <v>58</v>
      </c>
      <c r="B5" s="21"/>
      <c r="C5" s="21"/>
      <c r="D5" s="21"/>
      <c r="E5" s="21"/>
      <c r="F5" s="21"/>
      <c r="G5" s="21"/>
      <c r="H5" s="21"/>
      <c r="I5" s="21"/>
      <c r="J5" s="24" t="s">
        <v>59</v>
      </c>
      <c r="K5" s="21"/>
      <c r="L5" s="21"/>
    </row>
    <row r="6" spans="1:12" x14ac:dyDescent="0.15">
      <c r="A6" s="47" t="s">
        <v>127</v>
      </c>
      <c r="B6" s="55">
        <v>335000</v>
      </c>
      <c r="C6" s="21"/>
      <c r="D6" s="21"/>
      <c r="E6" s="21"/>
      <c r="F6" s="21"/>
      <c r="G6" s="21"/>
      <c r="H6" s="21"/>
      <c r="I6" s="21"/>
      <c r="J6" s="90" t="s">
        <v>128</v>
      </c>
      <c r="K6" s="90"/>
      <c r="L6" s="90"/>
    </row>
    <row r="7" spans="1:12" ht="14" customHeight="1" x14ac:dyDescent="0.15">
      <c r="A7" s="47" t="s">
        <v>62</v>
      </c>
      <c r="B7" s="52">
        <v>4.65E-2</v>
      </c>
      <c r="C7" s="21"/>
      <c r="D7" s="21"/>
      <c r="E7" s="21"/>
      <c r="F7" s="21"/>
      <c r="G7" s="21"/>
      <c r="H7" s="21"/>
      <c r="I7" s="21"/>
      <c r="J7" s="104" t="s">
        <v>129</v>
      </c>
      <c r="K7" s="104"/>
      <c r="L7" s="104"/>
    </row>
    <row r="8" spans="1:12" x14ac:dyDescent="0.15">
      <c r="A8" s="47" t="s">
        <v>64</v>
      </c>
      <c r="B8" s="51">
        <v>25</v>
      </c>
      <c r="C8" s="21"/>
      <c r="D8" s="21"/>
      <c r="E8" s="21"/>
      <c r="F8" s="21"/>
      <c r="G8" s="21"/>
      <c r="H8" s="21"/>
      <c r="I8" s="21"/>
      <c r="J8" s="104"/>
      <c r="K8" s="104"/>
      <c r="L8" s="104"/>
    </row>
    <row r="9" spans="1:12" x14ac:dyDescent="0.15">
      <c r="A9" s="47" t="s">
        <v>66</v>
      </c>
      <c r="B9" s="51">
        <v>12</v>
      </c>
      <c r="C9" s="21"/>
      <c r="D9" s="21"/>
      <c r="E9" s="21"/>
      <c r="F9" s="21"/>
      <c r="G9" s="21"/>
      <c r="H9" s="21"/>
      <c r="I9" s="21"/>
      <c r="J9" s="104"/>
      <c r="K9" s="104"/>
      <c r="L9" s="104"/>
    </row>
    <row r="10" spans="1:12" x14ac:dyDescent="0.15">
      <c r="A10" s="47" t="s">
        <v>130</v>
      </c>
      <c r="B10" s="55">
        <v>150</v>
      </c>
      <c r="C10" s="21"/>
      <c r="D10" s="21"/>
      <c r="E10" s="21"/>
      <c r="F10" s="21"/>
      <c r="G10" s="21"/>
      <c r="H10" s="21"/>
      <c r="I10" s="21"/>
      <c r="J10" s="104"/>
      <c r="K10" s="104"/>
      <c r="L10" s="104"/>
    </row>
    <row r="11" spans="1:12" x14ac:dyDescent="0.15">
      <c r="A11" s="21"/>
      <c r="B11" s="21"/>
      <c r="C11" s="21"/>
      <c r="D11" s="21"/>
      <c r="E11" s="21"/>
      <c r="F11" s="21"/>
      <c r="G11" s="21"/>
      <c r="H11" s="21"/>
      <c r="I11" s="21"/>
      <c r="J11" s="104"/>
      <c r="K11" s="104"/>
      <c r="L11" s="104"/>
    </row>
    <row r="12" spans="1:12" x14ac:dyDescent="0.15">
      <c r="A12" s="21" t="s">
        <v>131</v>
      </c>
      <c r="B12" s="49">
        <f>B7/B9</f>
        <v>3.875E-3</v>
      </c>
      <c r="C12" s="21"/>
      <c r="D12" s="21"/>
      <c r="E12" s="21"/>
      <c r="F12" s="21"/>
      <c r="G12" s="21"/>
      <c r="H12" s="21"/>
      <c r="I12" s="21"/>
      <c r="J12" s="104"/>
      <c r="K12" s="104"/>
      <c r="L12" s="104"/>
    </row>
    <row r="13" spans="1:12" x14ac:dyDescent="0.15">
      <c r="A13" s="21" t="s">
        <v>132</v>
      </c>
      <c r="B13" s="33">
        <f>PMT(B12,B8*B9,-B6)</f>
        <v>1890.6754069781277</v>
      </c>
      <c r="C13" s="21"/>
      <c r="D13" s="21"/>
      <c r="E13" s="21"/>
      <c r="F13" s="21"/>
      <c r="G13" s="21"/>
      <c r="H13" s="21"/>
      <c r="I13" s="21"/>
      <c r="J13" s="104"/>
      <c r="K13" s="104"/>
      <c r="L13" s="104"/>
    </row>
    <row r="14" spans="1:12" x14ac:dyDescent="0.15">
      <c r="A14" s="21" t="s">
        <v>133</v>
      </c>
      <c r="B14" s="33">
        <f>B13+B10</f>
        <v>2040.6754069781277</v>
      </c>
      <c r="C14" s="21"/>
      <c r="D14" s="21"/>
      <c r="E14" s="21"/>
      <c r="F14" s="21"/>
      <c r="G14" s="21"/>
      <c r="H14" s="21"/>
      <c r="I14" s="21"/>
      <c r="J14" s="21"/>
      <c r="K14" s="21"/>
      <c r="L14" s="21"/>
    </row>
    <row r="15" spans="1:12" x14ac:dyDescent="0.15">
      <c r="A15" s="21"/>
      <c r="B15" s="21"/>
      <c r="C15" s="21"/>
      <c r="D15" s="21"/>
      <c r="E15" s="21"/>
      <c r="F15" s="21"/>
      <c r="G15" s="21"/>
      <c r="H15" s="21"/>
      <c r="I15" s="21"/>
      <c r="J15" s="21"/>
      <c r="K15" s="21"/>
      <c r="L15" s="21"/>
    </row>
    <row r="16" spans="1:12" x14ac:dyDescent="0.15">
      <c r="A16" s="56" t="s">
        <v>134</v>
      </c>
      <c r="B16" s="56" t="s">
        <v>135</v>
      </c>
      <c r="C16" s="56" t="s">
        <v>136</v>
      </c>
      <c r="D16" s="56" t="s">
        <v>137</v>
      </c>
      <c r="E16" s="56" t="s">
        <v>138</v>
      </c>
      <c r="F16" s="56" t="s">
        <v>139</v>
      </c>
      <c r="G16" s="56" t="s">
        <v>140</v>
      </c>
      <c r="H16" s="56" t="s">
        <v>141</v>
      </c>
      <c r="I16" s="21"/>
      <c r="J16" s="21"/>
      <c r="K16" s="21"/>
      <c r="L16" s="21"/>
    </row>
    <row r="17" spans="1:8" x14ac:dyDescent="0.15">
      <c r="A17" s="21">
        <v>1</v>
      </c>
      <c r="B17" s="33">
        <f>$B$6</f>
        <v>335000</v>
      </c>
      <c r="C17" s="33">
        <f t="shared" ref="C17:C80" si="0">$B$13</f>
        <v>1890.6754069781277</v>
      </c>
      <c r="D17" s="33">
        <f t="shared" ref="D17:D80" si="1">B17*$B$12</f>
        <v>1298.125</v>
      </c>
      <c r="E17" s="33">
        <f t="shared" ref="E17:E80" si="2">C17-D17</f>
        <v>592.55040697812774</v>
      </c>
      <c r="F17" s="33">
        <f t="shared" ref="F17:F80" si="3">IF(B17&gt;0,$B$10,0)</f>
        <v>150</v>
      </c>
      <c r="G17" s="33">
        <f t="shared" ref="G17:G80" si="4">MIN(B17,E17+F17)</f>
        <v>742.55040697812774</v>
      </c>
      <c r="H17" s="33">
        <f t="shared" ref="H17:H80" si="5">MAX(0,B17-G17)</f>
        <v>334257.44959302188</v>
      </c>
    </row>
    <row r="18" spans="1:8" x14ac:dyDescent="0.15">
      <c r="A18" s="21">
        <v>2</v>
      </c>
      <c r="B18" s="33">
        <f t="shared" ref="B18:B81" si="6">H17</f>
        <v>334257.44959302188</v>
      </c>
      <c r="C18" s="33">
        <f t="shared" si="0"/>
        <v>1890.6754069781277</v>
      </c>
      <c r="D18" s="33">
        <f t="shared" si="1"/>
        <v>1295.2476171729597</v>
      </c>
      <c r="E18" s="33">
        <f t="shared" si="2"/>
        <v>595.427789805168</v>
      </c>
      <c r="F18" s="33">
        <f t="shared" si="3"/>
        <v>150</v>
      </c>
      <c r="G18" s="33">
        <f t="shared" si="4"/>
        <v>745.427789805168</v>
      </c>
      <c r="H18" s="33">
        <f t="shared" si="5"/>
        <v>333512.02180321672</v>
      </c>
    </row>
    <row r="19" spans="1:8" x14ac:dyDescent="0.15">
      <c r="A19" s="21">
        <v>3</v>
      </c>
      <c r="B19" s="33">
        <f t="shared" si="6"/>
        <v>333512.02180321672</v>
      </c>
      <c r="C19" s="33">
        <f t="shared" si="0"/>
        <v>1890.6754069781277</v>
      </c>
      <c r="D19" s="33">
        <f t="shared" si="1"/>
        <v>1292.3590844874648</v>
      </c>
      <c r="E19" s="33">
        <f t="shared" si="2"/>
        <v>598.31632249066297</v>
      </c>
      <c r="F19" s="33">
        <f t="shared" si="3"/>
        <v>150</v>
      </c>
      <c r="G19" s="33">
        <f t="shared" si="4"/>
        <v>748.31632249066297</v>
      </c>
      <c r="H19" s="33">
        <f t="shared" si="5"/>
        <v>332763.70548072603</v>
      </c>
    </row>
    <row r="20" spans="1:8" x14ac:dyDescent="0.15">
      <c r="A20" s="21">
        <v>4</v>
      </c>
      <c r="B20" s="33">
        <f t="shared" si="6"/>
        <v>332763.70548072603</v>
      </c>
      <c r="C20" s="33">
        <f t="shared" si="0"/>
        <v>1890.6754069781277</v>
      </c>
      <c r="D20" s="33">
        <f t="shared" si="1"/>
        <v>1289.4593587378133</v>
      </c>
      <c r="E20" s="33">
        <f t="shared" si="2"/>
        <v>601.21604824031442</v>
      </c>
      <c r="F20" s="33">
        <f t="shared" si="3"/>
        <v>150</v>
      </c>
      <c r="G20" s="33">
        <f t="shared" si="4"/>
        <v>751.21604824031442</v>
      </c>
      <c r="H20" s="33">
        <f t="shared" si="5"/>
        <v>332012.48943248572</v>
      </c>
    </row>
    <row r="21" spans="1:8" x14ac:dyDescent="0.15">
      <c r="A21" s="21">
        <v>5</v>
      </c>
      <c r="B21" s="33">
        <f t="shared" si="6"/>
        <v>332012.48943248572</v>
      </c>
      <c r="C21" s="33">
        <f t="shared" si="0"/>
        <v>1890.6754069781277</v>
      </c>
      <c r="D21" s="33">
        <f t="shared" si="1"/>
        <v>1286.5483965508822</v>
      </c>
      <c r="E21" s="33">
        <f t="shared" si="2"/>
        <v>604.12701042724552</v>
      </c>
      <c r="F21" s="33">
        <f t="shared" si="3"/>
        <v>150</v>
      </c>
      <c r="G21" s="33">
        <f t="shared" si="4"/>
        <v>754.12701042724552</v>
      </c>
      <c r="H21" s="33">
        <f t="shared" si="5"/>
        <v>331258.36242205848</v>
      </c>
    </row>
    <row r="22" spans="1:8" x14ac:dyDescent="0.15">
      <c r="A22" s="21">
        <v>6</v>
      </c>
      <c r="B22" s="33">
        <f t="shared" si="6"/>
        <v>331258.36242205848</v>
      </c>
      <c r="C22" s="33">
        <f t="shared" si="0"/>
        <v>1890.6754069781277</v>
      </c>
      <c r="D22" s="33">
        <f t="shared" si="1"/>
        <v>1283.6261543854766</v>
      </c>
      <c r="E22" s="33">
        <f t="shared" si="2"/>
        <v>607.0492525926511</v>
      </c>
      <c r="F22" s="33">
        <f t="shared" si="3"/>
        <v>150</v>
      </c>
      <c r="G22" s="33">
        <f t="shared" si="4"/>
        <v>757.0492525926511</v>
      </c>
      <c r="H22" s="33">
        <f t="shared" si="5"/>
        <v>330501.31316946581</v>
      </c>
    </row>
    <row r="23" spans="1:8" x14ac:dyDescent="0.15">
      <c r="A23" s="21">
        <v>7</v>
      </c>
      <c r="B23" s="33">
        <f t="shared" si="6"/>
        <v>330501.31316946581</v>
      </c>
      <c r="C23" s="33">
        <f t="shared" si="0"/>
        <v>1890.6754069781277</v>
      </c>
      <c r="D23" s="33">
        <f t="shared" si="1"/>
        <v>1280.69258853168</v>
      </c>
      <c r="E23" s="33">
        <f t="shared" si="2"/>
        <v>609.98281844644771</v>
      </c>
      <c r="F23" s="33">
        <f t="shared" si="3"/>
        <v>150</v>
      </c>
      <c r="G23" s="33">
        <f t="shared" si="4"/>
        <v>759.98281844644771</v>
      </c>
      <c r="H23" s="33">
        <f t="shared" si="5"/>
        <v>329741.33035101934</v>
      </c>
    </row>
    <row r="24" spans="1:8" x14ac:dyDescent="0.15">
      <c r="A24" s="21">
        <v>8</v>
      </c>
      <c r="B24" s="33">
        <f t="shared" si="6"/>
        <v>329741.33035101934</v>
      </c>
      <c r="C24" s="33">
        <f t="shared" si="0"/>
        <v>1890.6754069781277</v>
      </c>
      <c r="D24" s="33">
        <f t="shared" si="1"/>
        <v>1277.7476551102</v>
      </c>
      <c r="E24" s="33">
        <f t="shared" si="2"/>
        <v>612.92775186792778</v>
      </c>
      <c r="F24" s="33">
        <f t="shared" si="3"/>
        <v>150</v>
      </c>
      <c r="G24" s="33">
        <f t="shared" si="4"/>
        <v>762.92775186792778</v>
      </c>
      <c r="H24" s="33">
        <f t="shared" si="5"/>
        <v>328978.40259915142</v>
      </c>
    </row>
    <row r="25" spans="1:8" x14ac:dyDescent="0.15">
      <c r="A25" s="21">
        <v>9</v>
      </c>
      <c r="B25" s="33">
        <f t="shared" si="6"/>
        <v>328978.40259915142</v>
      </c>
      <c r="C25" s="33">
        <f t="shared" si="0"/>
        <v>1890.6754069781277</v>
      </c>
      <c r="D25" s="33">
        <f t="shared" si="1"/>
        <v>1274.7913100717117</v>
      </c>
      <c r="E25" s="33">
        <f t="shared" si="2"/>
        <v>615.88409690641606</v>
      </c>
      <c r="F25" s="33">
        <f t="shared" si="3"/>
        <v>150</v>
      </c>
      <c r="G25" s="33">
        <f t="shared" si="4"/>
        <v>765.88409690641606</v>
      </c>
      <c r="H25" s="33">
        <f t="shared" si="5"/>
        <v>328212.51850224502</v>
      </c>
    </row>
    <row r="26" spans="1:8" x14ac:dyDescent="0.15">
      <c r="A26" s="21">
        <v>10</v>
      </c>
      <c r="B26" s="33">
        <f t="shared" si="6"/>
        <v>328212.51850224502</v>
      </c>
      <c r="C26" s="33">
        <f t="shared" si="0"/>
        <v>1890.6754069781277</v>
      </c>
      <c r="D26" s="33">
        <f t="shared" si="1"/>
        <v>1271.8235091961994</v>
      </c>
      <c r="E26" s="33">
        <f t="shared" si="2"/>
        <v>618.8518977819283</v>
      </c>
      <c r="F26" s="33">
        <f t="shared" si="3"/>
        <v>150</v>
      </c>
      <c r="G26" s="33">
        <f t="shared" si="4"/>
        <v>768.8518977819283</v>
      </c>
      <c r="H26" s="33">
        <f t="shared" si="5"/>
        <v>327443.66660446307</v>
      </c>
    </row>
    <row r="27" spans="1:8" x14ac:dyDescent="0.15">
      <c r="A27" s="21">
        <v>11</v>
      </c>
      <c r="B27" s="33">
        <f t="shared" si="6"/>
        <v>327443.66660446307</v>
      </c>
      <c r="C27" s="33">
        <f t="shared" si="0"/>
        <v>1890.6754069781277</v>
      </c>
      <c r="D27" s="33">
        <f t="shared" si="1"/>
        <v>1268.8442080922944</v>
      </c>
      <c r="E27" s="33">
        <f t="shared" si="2"/>
        <v>621.83119888583337</v>
      </c>
      <c r="F27" s="33">
        <f t="shared" si="3"/>
        <v>150</v>
      </c>
      <c r="G27" s="33">
        <f t="shared" si="4"/>
        <v>771.83119888583337</v>
      </c>
      <c r="H27" s="33">
        <f t="shared" si="5"/>
        <v>326671.83540557721</v>
      </c>
    </row>
    <row r="28" spans="1:8" x14ac:dyDescent="0.15">
      <c r="A28" s="21">
        <v>12</v>
      </c>
      <c r="B28" s="33">
        <f t="shared" si="6"/>
        <v>326671.83540557721</v>
      </c>
      <c r="C28" s="33">
        <f t="shared" si="0"/>
        <v>1890.6754069781277</v>
      </c>
      <c r="D28" s="33">
        <f t="shared" si="1"/>
        <v>1265.8533621966117</v>
      </c>
      <c r="E28" s="33">
        <f t="shared" si="2"/>
        <v>624.82204478151607</v>
      </c>
      <c r="F28" s="33">
        <f t="shared" si="3"/>
        <v>150</v>
      </c>
      <c r="G28" s="33">
        <f t="shared" si="4"/>
        <v>774.82204478151607</v>
      </c>
      <c r="H28" s="33">
        <f t="shared" si="5"/>
        <v>325897.01336079568</v>
      </c>
    </row>
    <row r="29" spans="1:8" x14ac:dyDescent="0.15">
      <c r="A29" s="21">
        <v>13</v>
      </c>
      <c r="B29" s="33">
        <f t="shared" si="6"/>
        <v>325897.01336079568</v>
      </c>
      <c r="C29" s="33">
        <f t="shared" si="0"/>
        <v>1890.6754069781277</v>
      </c>
      <c r="D29" s="33">
        <f t="shared" si="1"/>
        <v>1262.8509267730833</v>
      </c>
      <c r="E29" s="33">
        <f t="shared" si="2"/>
        <v>627.82448020504444</v>
      </c>
      <c r="F29" s="33">
        <f t="shared" si="3"/>
        <v>150</v>
      </c>
      <c r="G29" s="33">
        <f t="shared" si="4"/>
        <v>777.82448020504444</v>
      </c>
      <c r="H29" s="33">
        <f t="shared" si="5"/>
        <v>325119.18888059066</v>
      </c>
    </row>
    <row r="30" spans="1:8" x14ac:dyDescent="0.15">
      <c r="A30" s="21">
        <v>14</v>
      </c>
      <c r="B30" s="33">
        <f t="shared" si="6"/>
        <v>325119.18888059066</v>
      </c>
      <c r="C30" s="33">
        <f t="shared" si="0"/>
        <v>1890.6754069781277</v>
      </c>
      <c r="D30" s="33">
        <f t="shared" si="1"/>
        <v>1259.8368569122888</v>
      </c>
      <c r="E30" s="33">
        <f t="shared" si="2"/>
        <v>630.83855006583894</v>
      </c>
      <c r="F30" s="33">
        <f t="shared" si="3"/>
        <v>150</v>
      </c>
      <c r="G30" s="33">
        <f t="shared" si="4"/>
        <v>780.83855006583894</v>
      </c>
      <c r="H30" s="33">
        <f t="shared" si="5"/>
        <v>324338.35033052485</v>
      </c>
    </row>
    <row r="31" spans="1:8" x14ac:dyDescent="0.15">
      <c r="A31" s="21">
        <v>15</v>
      </c>
      <c r="B31" s="33">
        <f t="shared" si="6"/>
        <v>324338.35033052485</v>
      </c>
      <c r="C31" s="33">
        <f t="shared" si="0"/>
        <v>1890.6754069781277</v>
      </c>
      <c r="D31" s="33">
        <f t="shared" si="1"/>
        <v>1256.8111075307838</v>
      </c>
      <c r="E31" s="33">
        <f t="shared" si="2"/>
        <v>633.86429944734391</v>
      </c>
      <c r="F31" s="33">
        <f t="shared" si="3"/>
        <v>150</v>
      </c>
      <c r="G31" s="33">
        <f t="shared" si="4"/>
        <v>783.86429944734391</v>
      </c>
      <c r="H31" s="33">
        <f t="shared" si="5"/>
        <v>323554.48603107751</v>
      </c>
    </row>
    <row r="32" spans="1:8" x14ac:dyDescent="0.15">
      <c r="A32" s="21">
        <v>16</v>
      </c>
      <c r="B32" s="33">
        <f t="shared" si="6"/>
        <v>323554.48603107751</v>
      </c>
      <c r="C32" s="33">
        <f t="shared" si="0"/>
        <v>1890.6754069781277</v>
      </c>
      <c r="D32" s="33">
        <f t="shared" si="1"/>
        <v>1253.7736333704254</v>
      </c>
      <c r="E32" s="33">
        <f t="shared" si="2"/>
        <v>636.90177360770235</v>
      </c>
      <c r="F32" s="33">
        <f t="shared" si="3"/>
        <v>150</v>
      </c>
      <c r="G32" s="33">
        <f t="shared" si="4"/>
        <v>786.90177360770235</v>
      </c>
      <c r="H32" s="33">
        <f t="shared" si="5"/>
        <v>322767.5842574698</v>
      </c>
    </row>
    <row r="33" spans="1:8" x14ac:dyDescent="0.15">
      <c r="A33" s="21">
        <v>17</v>
      </c>
      <c r="B33" s="33">
        <f t="shared" si="6"/>
        <v>322767.5842574698</v>
      </c>
      <c r="C33" s="33">
        <f t="shared" si="0"/>
        <v>1890.6754069781277</v>
      </c>
      <c r="D33" s="33">
        <f t="shared" si="1"/>
        <v>1250.7243889976955</v>
      </c>
      <c r="E33" s="33">
        <f t="shared" si="2"/>
        <v>639.9510179804322</v>
      </c>
      <c r="F33" s="33">
        <f t="shared" si="3"/>
        <v>150</v>
      </c>
      <c r="G33" s="33">
        <f t="shared" si="4"/>
        <v>789.9510179804322</v>
      </c>
      <c r="H33" s="33">
        <f t="shared" si="5"/>
        <v>321977.6332394894</v>
      </c>
    </row>
    <row r="34" spans="1:8" x14ac:dyDescent="0.15">
      <c r="A34" s="21">
        <v>18</v>
      </c>
      <c r="B34" s="33">
        <f t="shared" si="6"/>
        <v>321977.6332394894</v>
      </c>
      <c r="C34" s="33">
        <f t="shared" si="0"/>
        <v>1890.6754069781277</v>
      </c>
      <c r="D34" s="33">
        <f t="shared" si="1"/>
        <v>1247.6633288030214</v>
      </c>
      <c r="E34" s="33">
        <f t="shared" si="2"/>
        <v>643.01207817510635</v>
      </c>
      <c r="F34" s="33">
        <f t="shared" si="3"/>
        <v>150</v>
      </c>
      <c r="G34" s="33">
        <f t="shared" si="4"/>
        <v>793.01207817510635</v>
      </c>
      <c r="H34" s="33">
        <f t="shared" si="5"/>
        <v>321184.62116131431</v>
      </c>
    </row>
    <row r="35" spans="1:8" x14ac:dyDescent="0.15">
      <c r="A35" s="21">
        <v>19</v>
      </c>
      <c r="B35" s="33">
        <f t="shared" si="6"/>
        <v>321184.62116131431</v>
      </c>
      <c r="C35" s="33">
        <f t="shared" si="0"/>
        <v>1890.6754069781277</v>
      </c>
      <c r="D35" s="33">
        <f t="shared" si="1"/>
        <v>1244.5904070000929</v>
      </c>
      <c r="E35" s="33">
        <f t="shared" si="2"/>
        <v>646.08499997803483</v>
      </c>
      <c r="F35" s="33">
        <f t="shared" si="3"/>
        <v>150</v>
      </c>
      <c r="G35" s="33">
        <f t="shared" si="4"/>
        <v>796.08499997803483</v>
      </c>
      <c r="H35" s="33">
        <f t="shared" si="5"/>
        <v>320388.53616133629</v>
      </c>
    </row>
    <row r="36" spans="1:8" x14ac:dyDescent="0.15">
      <c r="A36" s="21">
        <v>20</v>
      </c>
      <c r="B36" s="33">
        <f t="shared" si="6"/>
        <v>320388.53616133629</v>
      </c>
      <c r="C36" s="33">
        <f t="shared" si="0"/>
        <v>1890.6754069781277</v>
      </c>
      <c r="D36" s="33">
        <f t="shared" si="1"/>
        <v>1241.5055776251781</v>
      </c>
      <c r="E36" s="33">
        <f t="shared" si="2"/>
        <v>649.16982935294959</v>
      </c>
      <c r="F36" s="33">
        <f t="shared" si="3"/>
        <v>150</v>
      </c>
      <c r="G36" s="33">
        <f t="shared" si="4"/>
        <v>799.16982935294959</v>
      </c>
      <c r="H36" s="33">
        <f t="shared" si="5"/>
        <v>319589.36633198336</v>
      </c>
    </row>
    <row r="37" spans="1:8" x14ac:dyDescent="0.15">
      <c r="A37" s="21">
        <v>21</v>
      </c>
      <c r="B37" s="33">
        <f t="shared" si="6"/>
        <v>319589.36633198336</v>
      </c>
      <c r="C37" s="33">
        <f t="shared" si="0"/>
        <v>1890.6754069781277</v>
      </c>
      <c r="D37" s="33">
        <f t="shared" si="1"/>
        <v>1238.4087945364356</v>
      </c>
      <c r="E37" s="33">
        <f t="shared" si="2"/>
        <v>652.26661244169213</v>
      </c>
      <c r="F37" s="33">
        <f t="shared" si="3"/>
        <v>150</v>
      </c>
      <c r="G37" s="33">
        <f t="shared" si="4"/>
        <v>802.26661244169213</v>
      </c>
      <c r="H37" s="33">
        <f t="shared" si="5"/>
        <v>318787.09971954167</v>
      </c>
    </row>
    <row r="38" spans="1:8" x14ac:dyDescent="0.15">
      <c r="A38" s="21">
        <v>22</v>
      </c>
      <c r="B38" s="33">
        <f t="shared" si="6"/>
        <v>318787.09971954167</v>
      </c>
      <c r="C38" s="33">
        <f t="shared" si="0"/>
        <v>1890.6754069781277</v>
      </c>
      <c r="D38" s="33">
        <f t="shared" si="1"/>
        <v>1235.300011413224</v>
      </c>
      <c r="E38" s="33">
        <f t="shared" si="2"/>
        <v>655.37539556490378</v>
      </c>
      <c r="F38" s="33">
        <f t="shared" si="3"/>
        <v>150</v>
      </c>
      <c r="G38" s="33">
        <f t="shared" si="4"/>
        <v>805.37539556490378</v>
      </c>
      <c r="H38" s="33">
        <f t="shared" si="5"/>
        <v>317981.72432397678</v>
      </c>
    </row>
    <row r="39" spans="1:8" x14ac:dyDescent="0.15">
      <c r="A39" s="21">
        <v>23</v>
      </c>
      <c r="B39" s="33">
        <f t="shared" si="6"/>
        <v>317981.72432397678</v>
      </c>
      <c r="C39" s="33">
        <f t="shared" si="0"/>
        <v>1890.6754069781277</v>
      </c>
      <c r="D39" s="33">
        <f t="shared" si="1"/>
        <v>1232.1791817554101</v>
      </c>
      <c r="E39" s="33">
        <f t="shared" si="2"/>
        <v>658.49622522271761</v>
      </c>
      <c r="F39" s="33">
        <f t="shared" si="3"/>
        <v>150</v>
      </c>
      <c r="G39" s="33">
        <f t="shared" si="4"/>
        <v>808.49622522271761</v>
      </c>
      <c r="H39" s="33">
        <f t="shared" si="5"/>
        <v>317173.22809875407</v>
      </c>
    </row>
    <row r="40" spans="1:8" x14ac:dyDescent="0.15">
      <c r="A40" s="21">
        <v>24</v>
      </c>
      <c r="B40" s="33">
        <f t="shared" si="6"/>
        <v>317173.22809875407</v>
      </c>
      <c r="C40" s="33">
        <f t="shared" si="0"/>
        <v>1890.6754069781277</v>
      </c>
      <c r="D40" s="33">
        <f t="shared" si="1"/>
        <v>1229.046258882672</v>
      </c>
      <c r="E40" s="33">
        <f t="shared" si="2"/>
        <v>661.62914809545578</v>
      </c>
      <c r="F40" s="33">
        <f t="shared" si="3"/>
        <v>150</v>
      </c>
      <c r="G40" s="33">
        <f t="shared" si="4"/>
        <v>811.62914809545578</v>
      </c>
      <c r="H40" s="33">
        <f t="shared" si="5"/>
        <v>316361.59895065863</v>
      </c>
    </row>
    <row r="41" spans="1:8" x14ac:dyDescent="0.15">
      <c r="A41" s="21">
        <v>25</v>
      </c>
      <c r="B41" s="33">
        <f t="shared" si="6"/>
        <v>316361.59895065863</v>
      </c>
      <c r="C41" s="33">
        <f t="shared" si="0"/>
        <v>1890.6754069781277</v>
      </c>
      <c r="D41" s="33">
        <f t="shared" si="1"/>
        <v>1225.9011959338022</v>
      </c>
      <c r="E41" s="33">
        <f t="shared" si="2"/>
        <v>664.77421104432551</v>
      </c>
      <c r="F41" s="33">
        <f t="shared" si="3"/>
        <v>150</v>
      </c>
      <c r="G41" s="33">
        <f t="shared" si="4"/>
        <v>814.77421104432551</v>
      </c>
      <c r="H41" s="33">
        <f t="shared" si="5"/>
        <v>315546.82473961433</v>
      </c>
    </row>
    <row r="42" spans="1:8" x14ac:dyDescent="0.15">
      <c r="A42" s="21">
        <v>26</v>
      </c>
      <c r="B42" s="33">
        <f t="shared" si="6"/>
        <v>315546.82473961433</v>
      </c>
      <c r="C42" s="33">
        <f t="shared" si="0"/>
        <v>1890.6754069781277</v>
      </c>
      <c r="D42" s="33">
        <f t="shared" si="1"/>
        <v>1222.7439458660056</v>
      </c>
      <c r="E42" s="33">
        <f t="shared" si="2"/>
        <v>667.93146111212218</v>
      </c>
      <c r="F42" s="33">
        <f t="shared" si="3"/>
        <v>150</v>
      </c>
      <c r="G42" s="33">
        <f t="shared" si="4"/>
        <v>817.93146111212218</v>
      </c>
      <c r="H42" s="33">
        <f t="shared" si="5"/>
        <v>314728.89327850222</v>
      </c>
    </row>
    <row r="43" spans="1:8" x14ac:dyDescent="0.15">
      <c r="A43" s="21">
        <v>27</v>
      </c>
      <c r="B43" s="33">
        <f t="shared" si="6"/>
        <v>314728.89327850222</v>
      </c>
      <c r="C43" s="33">
        <f t="shared" si="0"/>
        <v>1890.6754069781277</v>
      </c>
      <c r="D43" s="33">
        <f t="shared" si="1"/>
        <v>1219.5744614541961</v>
      </c>
      <c r="E43" s="33">
        <f t="shared" si="2"/>
        <v>671.10094552393161</v>
      </c>
      <c r="F43" s="33">
        <f t="shared" si="3"/>
        <v>150</v>
      </c>
      <c r="G43" s="33">
        <f t="shared" si="4"/>
        <v>821.10094552393161</v>
      </c>
      <c r="H43" s="33">
        <f t="shared" si="5"/>
        <v>313907.79233297828</v>
      </c>
    </row>
    <row r="44" spans="1:8" x14ac:dyDescent="0.15">
      <c r="A44" s="21">
        <v>28</v>
      </c>
      <c r="B44" s="33">
        <f t="shared" si="6"/>
        <v>313907.79233297828</v>
      </c>
      <c r="C44" s="33">
        <f t="shared" si="0"/>
        <v>1890.6754069781277</v>
      </c>
      <c r="D44" s="33">
        <f t="shared" si="1"/>
        <v>1216.3926952902909</v>
      </c>
      <c r="E44" s="33">
        <f t="shared" si="2"/>
        <v>674.28271168783681</v>
      </c>
      <c r="F44" s="33">
        <f t="shared" si="3"/>
        <v>150</v>
      </c>
      <c r="G44" s="33">
        <f t="shared" si="4"/>
        <v>824.28271168783681</v>
      </c>
      <c r="H44" s="33">
        <f t="shared" si="5"/>
        <v>313083.50962129043</v>
      </c>
    </row>
    <row r="45" spans="1:8" x14ac:dyDescent="0.15">
      <c r="A45" s="21">
        <v>29</v>
      </c>
      <c r="B45" s="33">
        <f t="shared" si="6"/>
        <v>313083.50962129043</v>
      </c>
      <c r="C45" s="33">
        <f t="shared" si="0"/>
        <v>1890.6754069781277</v>
      </c>
      <c r="D45" s="33">
        <f t="shared" si="1"/>
        <v>1213.1985997825004</v>
      </c>
      <c r="E45" s="33">
        <f t="shared" si="2"/>
        <v>677.47680719562732</v>
      </c>
      <c r="F45" s="33">
        <f t="shared" si="3"/>
        <v>150</v>
      </c>
      <c r="G45" s="33">
        <f t="shared" si="4"/>
        <v>827.47680719562732</v>
      </c>
      <c r="H45" s="33">
        <f t="shared" si="5"/>
        <v>312256.0328140948</v>
      </c>
    </row>
    <row r="46" spans="1:8" x14ac:dyDescent="0.15">
      <c r="A46" s="21">
        <v>30</v>
      </c>
      <c r="B46" s="33">
        <f t="shared" si="6"/>
        <v>312256.0328140948</v>
      </c>
      <c r="C46" s="33">
        <f t="shared" si="0"/>
        <v>1890.6754069781277</v>
      </c>
      <c r="D46" s="33">
        <f t="shared" si="1"/>
        <v>1209.9921271546173</v>
      </c>
      <c r="E46" s="33">
        <f t="shared" si="2"/>
        <v>680.68327982351047</v>
      </c>
      <c r="F46" s="33">
        <f t="shared" si="3"/>
        <v>150</v>
      </c>
      <c r="G46" s="33">
        <f t="shared" si="4"/>
        <v>830.68327982351047</v>
      </c>
      <c r="H46" s="33">
        <f t="shared" si="5"/>
        <v>311425.34953427128</v>
      </c>
    </row>
    <row r="47" spans="1:8" x14ac:dyDescent="0.15">
      <c r="A47" s="21">
        <v>31</v>
      </c>
      <c r="B47" s="33">
        <f t="shared" si="6"/>
        <v>311425.34953427128</v>
      </c>
      <c r="C47" s="33">
        <f t="shared" si="0"/>
        <v>1890.6754069781277</v>
      </c>
      <c r="D47" s="33">
        <f t="shared" si="1"/>
        <v>1206.7732294453012</v>
      </c>
      <c r="E47" s="33">
        <f t="shared" si="2"/>
        <v>683.9021775328265</v>
      </c>
      <c r="F47" s="33">
        <f t="shared" si="3"/>
        <v>150</v>
      </c>
      <c r="G47" s="33">
        <f t="shared" si="4"/>
        <v>833.9021775328265</v>
      </c>
      <c r="H47" s="33">
        <f t="shared" si="5"/>
        <v>310591.44735673844</v>
      </c>
    </row>
    <row r="48" spans="1:8" x14ac:dyDescent="0.15">
      <c r="A48" s="21">
        <v>32</v>
      </c>
      <c r="B48" s="33">
        <f t="shared" si="6"/>
        <v>310591.44735673844</v>
      </c>
      <c r="C48" s="33">
        <f t="shared" si="0"/>
        <v>1890.6754069781277</v>
      </c>
      <c r="D48" s="33">
        <f t="shared" si="1"/>
        <v>1203.5418585073614</v>
      </c>
      <c r="E48" s="33">
        <f t="shared" si="2"/>
        <v>687.1335484707663</v>
      </c>
      <c r="F48" s="33">
        <f t="shared" si="3"/>
        <v>150</v>
      </c>
      <c r="G48" s="33">
        <f t="shared" si="4"/>
        <v>837.1335484707663</v>
      </c>
      <c r="H48" s="33">
        <f t="shared" si="5"/>
        <v>309754.3138082677</v>
      </c>
    </row>
    <row r="49" spans="1:8" x14ac:dyDescent="0.15">
      <c r="A49" s="21">
        <v>33</v>
      </c>
      <c r="B49" s="33">
        <f t="shared" si="6"/>
        <v>309754.3138082677</v>
      </c>
      <c r="C49" s="33">
        <f t="shared" si="0"/>
        <v>1890.6754069781277</v>
      </c>
      <c r="D49" s="33">
        <f t="shared" si="1"/>
        <v>1200.2979660070373</v>
      </c>
      <c r="E49" s="33">
        <f t="shared" si="2"/>
        <v>690.37744097109044</v>
      </c>
      <c r="F49" s="33">
        <f t="shared" si="3"/>
        <v>150</v>
      </c>
      <c r="G49" s="33">
        <f t="shared" si="4"/>
        <v>840.37744097109044</v>
      </c>
      <c r="H49" s="33">
        <f t="shared" si="5"/>
        <v>308913.93636729661</v>
      </c>
    </row>
    <row r="50" spans="1:8" x14ac:dyDescent="0.15">
      <c r="A50" s="21">
        <v>34</v>
      </c>
      <c r="B50" s="33">
        <f t="shared" si="6"/>
        <v>308913.93636729661</v>
      </c>
      <c r="C50" s="33">
        <f t="shared" si="0"/>
        <v>1890.6754069781277</v>
      </c>
      <c r="D50" s="33">
        <f t="shared" si="1"/>
        <v>1197.0415034232744</v>
      </c>
      <c r="E50" s="33">
        <f t="shared" si="2"/>
        <v>693.6339035548533</v>
      </c>
      <c r="F50" s="33">
        <f t="shared" si="3"/>
        <v>150</v>
      </c>
      <c r="G50" s="33">
        <f t="shared" si="4"/>
        <v>843.6339035548533</v>
      </c>
      <c r="H50" s="33">
        <f t="shared" si="5"/>
        <v>308070.30246374174</v>
      </c>
    </row>
    <row r="51" spans="1:8" x14ac:dyDescent="0.15">
      <c r="A51" s="21">
        <v>35</v>
      </c>
      <c r="B51" s="33">
        <f t="shared" si="6"/>
        <v>308070.30246374174</v>
      </c>
      <c r="C51" s="33">
        <f t="shared" si="0"/>
        <v>1890.6754069781277</v>
      </c>
      <c r="D51" s="33">
        <f t="shared" si="1"/>
        <v>1193.7724220469993</v>
      </c>
      <c r="E51" s="33">
        <f t="shared" si="2"/>
        <v>696.90298493112846</v>
      </c>
      <c r="F51" s="33">
        <f t="shared" si="3"/>
        <v>150</v>
      </c>
      <c r="G51" s="33">
        <f t="shared" si="4"/>
        <v>846.90298493112846</v>
      </c>
      <c r="H51" s="33">
        <f t="shared" si="5"/>
        <v>307223.39947881061</v>
      </c>
    </row>
    <row r="52" spans="1:8" x14ac:dyDescent="0.15">
      <c r="A52" s="21">
        <v>36</v>
      </c>
      <c r="B52" s="33">
        <f t="shared" si="6"/>
        <v>307223.39947881061</v>
      </c>
      <c r="C52" s="33">
        <f t="shared" si="0"/>
        <v>1890.6754069781277</v>
      </c>
      <c r="D52" s="33">
        <f t="shared" si="1"/>
        <v>1190.4906729803911</v>
      </c>
      <c r="E52" s="33">
        <f t="shared" si="2"/>
        <v>700.18473399773666</v>
      </c>
      <c r="F52" s="33">
        <f t="shared" si="3"/>
        <v>150</v>
      </c>
      <c r="G52" s="33">
        <f t="shared" si="4"/>
        <v>850.18473399773666</v>
      </c>
      <c r="H52" s="33">
        <f t="shared" si="5"/>
        <v>306373.21474481287</v>
      </c>
    </row>
    <row r="53" spans="1:8" x14ac:dyDescent="0.15">
      <c r="A53" s="21">
        <v>37</v>
      </c>
      <c r="B53" s="33">
        <f t="shared" si="6"/>
        <v>306373.21474481287</v>
      </c>
      <c r="C53" s="33">
        <f t="shared" si="0"/>
        <v>1890.6754069781277</v>
      </c>
      <c r="D53" s="33">
        <f t="shared" si="1"/>
        <v>1187.19620713615</v>
      </c>
      <c r="E53" s="33">
        <f t="shared" si="2"/>
        <v>703.47919984197779</v>
      </c>
      <c r="F53" s="33">
        <f t="shared" si="3"/>
        <v>150</v>
      </c>
      <c r="G53" s="33">
        <f t="shared" si="4"/>
        <v>853.47919984197779</v>
      </c>
      <c r="H53" s="33">
        <f t="shared" si="5"/>
        <v>305519.7355449709</v>
      </c>
    </row>
    <row r="54" spans="1:8" x14ac:dyDescent="0.15">
      <c r="A54" s="21">
        <v>38</v>
      </c>
      <c r="B54" s="33">
        <f t="shared" si="6"/>
        <v>305519.7355449709</v>
      </c>
      <c r="C54" s="33">
        <f t="shared" si="0"/>
        <v>1890.6754069781277</v>
      </c>
      <c r="D54" s="33">
        <f t="shared" si="1"/>
        <v>1183.8889752367622</v>
      </c>
      <c r="E54" s="33">
        <f t="shared" si="2"/>
        <v>706.7864317413655</v>
      </c>
      <c r="F54" s="33">
        <f t="shared" si="3"/>
        <v>150</v>
      </c>
      <c r="G54" s="33">
        <f t="shared" si="4"/>
        <v>856.7864317413655</v>
      </c>
      <c r="H54" s="33">
        <f t="shared" si="5"/>
        <v>304662.94911322952</v>
      </c>
    </row>
    <row r="55" spans="1:8" x14ac:dyDescent="0.15">
      <c r="A55" s="21">
        <v>39</v>
      </c>
      <c r="B55" s="33">
        <f t="shared" si="6"/>
        <v>304662.94911322952</v>
      </c>
      <c r="C55" s="33">
        <f t="shared" si="0"/>
        <v>1890.6754069781277</v>
      </c>
      <c r="D55" s="33">
        <f t="shared" si="1"/>
        <v>1180.5689278137645</v>
      </c>
      <c r="E55" s="33">
        <f t="shared" si="2"/>
        <v>710.10647916436324</v>
      </c>
      <c r="F55" s="33">
        <f t="shared" si="3"/>
        <v>150</v>
      </c>
      <c r="G55" s="33">
        <f t="shared" si="4"/>
        <v>860.10647916436324</v>
      </c>
      <c r="H55" s="33">
        <f t="shared" si="5"/>
        <v>303802.84263406513</v>
      </c>
    </row>
    <row r="56" spans="1:8" x14ac:dyDescent="0.15">
      <c r="A56" s="21">
        <v>40</v>
      </c>
      <c r="B56" s="33">
        <f t="shared" si="6"/>
        <v>303802.84263406513</v>
      </c>
      <c r="C56" s="33">
        <f t="shared" si="0"/>
        <v>1890.6754069781277</v>
      </c>
      <c r="D56" s="33">
        <f t="shared" si="1"/>
        <v>1177.2360152070023</v>
      </c>
      <c r="E56" s="33">
        <f t="shared" si="2"/>
        <v>713.43939177112543</v>
      </c>
      <c r="F56" s="33">
        <f t="shared" si="3"/>
        <v>150</v>
      </c>
      <c r="G56" s="33">
        <f t="shared" si="4"/>
        <v>863.43939177112543</v>
      </c>
      <c r="H56" s="33">
        <f t="shared" si="5"/>
        <v>302939.40324229404</v>
      </c>
    </row>
    <row r="57" spans="1:8" x14ac:dyDescent="0.15">
      <c r="A57" s="21">
        <v>41</v>
      </c>
      <c r="B57" s="33">
        <f t="shared" si="6"/>
        <v>302939.40324229404</v>
      </c>
      <c r="C57" s="33">
        <f t="shared" si="0"/>
        <v>1890.6754069781277</v>
      </c>
      <c r="D57" s="33">
        <f t="shared" si="1"/>
        <v>1173.8901875638894</v>
      </c>
      <c r="E57" s="33">
        <f t="shared" si="2"/>
        <v>716.78521941423833</v>
      </c>
      <c r="F57" s="33">
        <f t="shared" si="3"/>
        <v>150</v>
      </c>
      <c r="G57" s="33">
        <f t="shared" si="4"/>
        <v>866.78521941423833</v>
      </c>
      <c r="H57" s="33">
        <f t="shared" si="5"/>
        <v>302072.61802287982</v>
      </c>
    </row>
    <row r="58" spans="1:8" x14ac:dyDescent="0.15">
      <c r="A58" s="21">
        <v>42</v>
      </c>
      <c r="B58" s="33">
        <f t="shared" si="6"/>
        <v>302072.61802287982</v>
      </c>
      <c r="C58" s="33">
        <f t="shared" si="0"/>
        <v>1890.6754069781277</v>
      </c>
      <c r="D58" s="33">
        <f t="shared" si="1"/>
        <v>1170.5313948386593</v>
      </c>
      <c r="E58" s="33">
        <f t="shared" si="2"/>
        <v>720.14401213946849</v>
      </c>
      <c r="F58" s="33">
        <f t="shared" si="3"/>
        <v>150</v>
      </c>
      <c r="G58" s="33">
        <f t="shared" si="4"/>
        <v>870.14401213946849</v>
      </c>
      <c r="H58" s="33">
        <f t="shared" si="5"/>
        <v>301202.47401074035</v>
      </c>
    </row>
    <row r="59" spans="1:8" x14ac:dyDescent="0.15">
      <c r="A59" s="21">
        <v>43</v>
      </c>
      <c r="B59" s="33">
        <f t="shared" si="6"/>
        <v>301202.47401074035</v>
      </c>
      <c r="C59" s="33">
        <f t="shared" si="0"/>
        <v>1890.6754069781277</v>
      </c>
      <c r="D59" s="33">
        <f t="shared" si="1"/>
        <v>1167.1595867916189</v>
      </c>
      <c r="E59" s="33">
        <f t="shared" si="2"/>
        <v>723.51582018650879</v>
      </c>
      <c r="F59" s="33">
        <f t="shared" si="3"/>
        <v>150</v>
      </c>
      <c r="G59" s="33">
        <f t="shared" si="4"/>
        <v>873.51582018650879</v>
      </c>
      <c r="H59" s="33">
        <f t="shared" si="5"/>
        <v>300328.95819055382</v>
      </c>
    </row>
    <row r="60" spans="1:8" x14ac:dyDescent="0.15">
      <c r="A60" s="21">
        <v>44</v>
      </c>
      <c r="B60" s="33">
        <f t="shared" si="6"/>
        <v>300328.95819055382</v>
      </c>
      <c r="C60" s="33">
        <f t="shared" si="0"/>
        <v>1890.6754069781277</v>
      </c>
      <c r="D60" s="33">
        <f t="shared" si="1"/>
        <v>1163.774712988396</v>
      </c>
      <c r="E60" s="33">
        <f t="shared" si="2"/>
        <v>726.90069398973174</v>
      </c>
      <c r="F60" s="33">
        <f t="shared" si="3"/>
        <v>150</v>
      </c>
      <c r="G60" s="33">
        <f t="shared" si="4"/>
        <v>876.90069398973174</v>
      </c>
      <c r="H60" s="33">
        <f t="shared" si="5"/>
        <v>299452.05749656411</v>
      </c>
    </row>
    <row r="61" spans="1:8" x14ac:dyDescent="0.15">
      <c r="A61" s="21">
        <v>45</v>
      </c>
      <c r="B61" s="33">
        <f t="shared" si="6"/>
        <v>299452.05749656411</v>
      </c>
      <c r="C61" s="33">
        <f t="shared" si="0"/>
        <v>1890.6754069781277</v>
      </c>
      <c r="D61" s="33">
        <f t="shared" si="1"/>
        <v>1160.3767227991859</v>
      </c>
      <c r="E61" s="33">
        <f t="shared" si="2"/>
        <v>730.29868417894181</v>
      </c>
      <c r="F61" s="33">
        <f t="shared" si="3"/>
        <v>150</v>
      </c>
      <c r="G61" s="33">
        <f t="shared" si="4"/>
        <v>880.29868417894181</v>
      </c>
      <c r="H61" s="33">
        <f t="shared" si="5"/>
        <v>298571.75881238515</v>
      </c>
    </row>
    <row r="62" spans="1:8" x14ac:dyDescent="0.15">
      <c r="A62" s="21">
        <v>46</v>
      </c>
      <c r="B62" s="33">
        <f t="shared" si="6"/>
        <v>298571.75881238515</v>
      </c>
      <c r="C62" s="33">
        <f t="shared" si="0"/>
        <v>1890.6754069781277</v>
      </c>
      <c r="D62" s="33">
        <f t="shared" si="1"/>
        <v>1156.9655653979923</v>
      </c>
      <c r="E62" s="33">
        <f t="shared" si="2"/>
        <v>733.70984158013539</v>
      </c>
      <c r="F62" s="33">
        <f t="shared" si="3"/>
        <v>150</v>
      </c>
      <c r="G62" s="33">
        <f t="shared" si="4"/>
        <v>883.70984158013539</v>
      </c>
      <c r="H62" s="33">
        <f t="shared" si="5"/>
        <v>297688.04897080502</v>
      </c>
    </row>
    <row r="63" spans="1:8" x14ac:dyDescent="0.15">
      <c r="A63" s="21">
        <v>47</v>
      </c>
      <c r="B63" s="33">
        <f t="shared" si="6"/>
        <v>297688.04897080502</v>
      </c>
      <c r="C63" s="33">
        <f t="shared" si="0"/>
        <v>1890.6754069781277</v>
      </c>
      <c r="D63" s="33">
        <f t="shared" si="1"/>
        <v>1153.5411897618694</v>
      </c>
      <c r="E63" s="33">
        <f t="shared" si="2"/>
        <v>737.13421721625832</v>
      </c>
      <c r="F63" s="33">
        <f t="shared" si="3"/>
        <v>150</v>
      </c>
      <c r="G63" s="33">
        <f t="shared" si="4"/>
        <v>887.13421721625832</v>
      </c>
      <c r="H63" s="33">
        <f t="shared" si="5"/>
        <v>296800.91475358873</v>
      </c>
    </row>
    <row r="64" spans="1:8" x14ac:dyDescent="0.15">
      <c r="A64" s="21">
        <v>48</v>
      </c>
      <c r="B64" s="33">
        <f t="shared" si="6"/>
        <v>296800.91475358873</v>
      </c>
      <c r="C64" s="33">
        <f t="shared" si="0"/>
        <v>1890.6754069781277</v>
      </c>
      <c r="D64" s="33">
        <f t="shared" si="1"/>
        <v>1150.1035446701562</v>
      </c>
      <c r="E64" s="33">
        <f t="shared" si="2"/>
        <v>740.57186230797151</v>
      </c>
      <c r="F64" s="33">
        <f t="shared" si="3"/>
        <v>150</v>
      </c>
      <c r="G64" s="33">
        <f t="shared" si="4"/>
        <v>890.57186230797151</v>
      </c>
      <c r="H64" s="33">
        <f t="shared" si="5"/>
        <v>295910.34289128077</v>
      </c>
    </row>
    <row r="65" spans="1:8" x14ac:dyDescent="0.15">
      <c r="A65" s="21">
        <v>49</v>
      </c>
      <c r="B65" s="33">
        <f t="shared" si="6"/>
        <v>295910.34289128077</v>
      </c>
      <c r="C65" s="33">
        <f t="shared" si="0"/>
        <v>1890.6754069781277</v>
      </c>
      <c r="D65" s="33">
        <f t="shared" si="1"/>
        <v>1146.6525787037131</v>
      </c>
      <c r="E65" s="33">
        <f t="shared" si="2"/>
        <v>744.02282827441468</v>
      </c>
      <c r="F65" s="33">
        <f t="shared" si="3"/>
        <v>150</v>
      </c>
      <c r="G65" s="33">
        <f t="shared" si="4"/>
        <v>894.02282827441468</v>
      </c>
      <c r="H65" s="33">
        <f t="shared" si="5"/>
        <v>295016.32006300637</v>
      </c>
    </row>
    <row r="66" spans="1:8" x14ac:dyDescent="0.15">
      <c r="A66" s="21">
        <v>50</v>
      </c>
      <c r="B66" s="33">
        <f t="shared" si="6"/>
        <v>295016.32006300637</v>
      </c>
      <c r="C66" s="33">
        <f t="shared" si="0"/>
        <v>1890.6754069781277</v>
      </c>
      <c r="D66" s="33">
        <f t="shared" si="1"/>
        <v>1143.1882402441497</v>
      </c>
      <c r="E66" s="33">
        <f t="shared" si="2"/>
        <v>747.48716673397803</v>
      </c>
      <c r="F66" s="33">
        <f t="shared" si="3"/>
        <v>150</v>
      </c>
      <c r="G66" s="33">
        <f t="shared" si="4"/>
        <v>897.48716673397803</v>
      </c>
      <c r="H66" s="33">
        <f t="shared" si="5"/>
        <v>294118.83289627236</v>
      </c>
    </row>
    <row r="67" spans="1:8" x14ac:dyDescent="0.15">
      <c r="A67" s="21">
        <v>51</v>
      </c>
      <c r="B67" s="33">
        <f t="shared" si="6"/>
        <v>294118.83289627236</v>
      </c>
      <c r="C67" s="33">
        <f t="shared" si="0"/>
        <v>1890.6754069781277</v>
      </c>
      <c r="D67" s="33">
        <f t="shared" si="1"/>
        <v>1139.7104774730553</v>
      </c>
      <c r="E67" s="33">
        <f t="shared" si="2"/>
        <v>750.9649295050724</v>
      </c>
      <c r="F67" s="33">
        <f t="shared" si="3"/>
        <v>150</v>
      </c>
      <c r="G67" s="33">
        <f t="shared" si="4"/>
        <v>900.9649295050724</v>
      </c>
      <c r="H67" s="33">
        <f t="shared" si="5"/>
        <v>293217.86796676728</v>
      </c>
    </row>
    <row r="68" spans="1:8" x14ac:dyDescent="0.15">
      <c r="A68" s="21">
        <v>52</v>
      </c>
      <c r="B68" s="33">
        <f t="shared" si="6"/>
        <v>293217.86796676728</v>
      </c>
      <c r="C68" s="33">
        <f t="shared" si="0"/>
        <v>1890.6754069781277</v>
      </c>
      <c r="D68" s="33">
        <f t="shared" si="1"/>
        <v>1136.2192383712231</v>
      </c>
      <c r="E68" s="33">
        <f t="shared" si="2"/>
        <v>754.45616860690461</v>
      </c>
      <c r="F68" s="33">
        <f t="shared" si="3"/>
        <v>150</v>
      </c>
      <c r="G68" s="33">
        <f t="shared" si="4"/>
        <v>904.45616860690461</v>
      </c>
      <c r="H68" s="33">
        <f t="shared" si="5"/>
        <v>292313.41179816041</v>
      </c>
    </row>
    <row r="69" spans="1:8" x14ac:dyDescent="0.15">
      <c r="A69" s="21">
        <v>53</v>
      </c>
      <c r="B69" s="33">
        <f t="shared" si="6"/>
        <v>292313.41179816041</v>
      </c>
      <c r="C69" s="33">
        <f t="shared" si="0"/>
        <v>1890.6754069781277</v>
      </c>
      <c r="D69" s="33">
        <f t="shared" si="1"/>
        <v>1132.7144707178716</v>
      </c>
      <c r="E69" s="33">
        <f t="shared" si="2"/>
        <v>757.96093626025618</v>
      </c>
      <c r="F69" s="33">
        <f t="shared" si="3"/>
        <v>150</v>
      </c>
      <c r="G69" s="33">
        <f t="shared" si="4"/>
        <v>907.96093626025618</v>
      </c>
      <c r="H69" s="33">
        <f t="shared" si="5"/>
        <v>291405.45086190017</v>
      </c>
    </row>
    <row r="70" spans="1:8" x14ac:dyDescent="0.15">
      <c r="A70" s="21">
        <v>54</v>
      </c>
      <c r="B70" s="33">
        <f t="shared" si="6"/>
        <v>291405.45086190017</v>
      </c>
      <c r="C70" s="33">
        <f t="shared" si="0"/>
        <v>1890.6754069781277</v>
      </c>
      <c r="D70" s="33">
        <f t="shared" si="1"/>
        <v>1129.1961220898631</v>
      </c>
      <c r="E70" s="33">
        <f t="shared" si="2"/>
        <v>761.4792848882646</v>
      </c>
      <c r="F70" s="33">
        <f t="shared" si="3"/>
        <v>150</v>
      </c>
      <c r="G70" s="33">
        <f t="shared" si="4"/>
        <v>911.4792848882646</v>
      </c>
      <c r="H70" s="33">
        <f t="shared" si="5"/>
        <v>290493.97157701192</v>
      </c>
    </row>
    <row r="71" spans="1:8" x14ac:dyDescent="0.15">
      <c r="A71" s="21">
        <v>55</v>
      </c>
      <c r="B71" s="33">
        <f t="shared" si="6"/>
        <v>290493.97157701192</v>
      </c>
      <c r="C71" s="33">
        <f t="shared" si="0"/>
        <v>1890.6754069781277</v>
      </c>
      <c r="D71" s="33">
        <f t="shared" si="1"/>
        <v>1125.6641398609213</v>
      </c>
      <c r="E71" s="33">
        <f t="shared" si="2"/>
        <v>765.01126711720644</v>
      </c>
      <c r="F71" s="33">
        <f t="shared" si="3"/>
        <v>150</v>
      </c>
      <c r="G71" s="33">
        <f t="shared" si="4"/>
        <v>915.01126711720644</v>
      </c>
      <c r="H71" s="33">
        <f t="shared" si="5"/>
        <v>289578.9603098947</v>
      </c>
    </row>
    <row r="72" spans="1:8" x14ac:dyDescent="0.15">
      <c r="A72" s="21">
        <v>56</v>
      </c>
      <c r="B72" s="33">
        <f t="shared" si="6"/>
        <v>289578.9603098947</v>
      </c>
      <c r="C72" s="33">
        <f t="shared" si="0"/>
        <v>1890.6754069781277</v>
      </c>
      <c r="D72" s="33">
        <f t="shared" si="1"/>
        <v>1122.1184712008419</v>
      </c>
      <c r="E72" s="33">
        <f t="shared" si="2"/>
        <v>768.55693577728584</v>
      </c>
      <c r="F72" s="33">
        <f t="shared" si="3"/>
        <v>150</v>
      </c>
      <c r="G72" s="33">
        <f t="shared" si="4"/>
        <v>918.55693577728584</v>
      </c>
      <c r="H72" s="33">
        <f t="shared" si="5"/>
        <v>288660.40337411739</v>
      </c>
    </row>
    <row r="73" spans="1:8" x14ac:dyDescent="0.15">
      <c r="A73" s="21">
        <v>57</v>
      </c>
      <c r="B73" s="33">
        <f t="shared" si="6"/>
        <v>288660.40337411739</v>
      </c>
      <c r="C73" s="33">
        <f t="shared" si="0"/>
        <v>1890.6754069781277</v>
      </c>
      <c r="D73" s="33">
        <f t="shared" si="1"/>
        <v>1118.5590630747049</v>
      </c>
      <c r="E73" s="33">
        <f t="shared" si="2"/>
        <v>772.11634390342283</v>
      </c>
      <c r="F73" s="33">
        <f t="shared" si="3"/>
        <v>150</v>
      </c>
      <c r="G73" s="33">
        <f t="shared" si="4"/>
        <v>922.11634390342283</v>
      </c>
      <c r="H73" s="33">
        <f t="shared" si="5"/>
        <v>287738.28703021398</v>
      </c>
    </row>
    <row r="74" spans="1:8" x14ac:dyDescent="0.15">
      <c r="A74" s="21">
        <v>58</v>
      </c>
      <c r="B74" s="33">
        <f t="shared" si="6"/>
        <v>287738.28703021398</v>
      </c>
      <c r="C74" s="33">
        <f t="shared" si="0"/>
        <v>1890.6754069781277</v>
      </c>
      <c r="D74" s="33">
        <f t="shared" si="1"/>
        <v>1114.9858622420791</v>
      </c>
      <c r="E74" s="33">
        <f t="shared" si="2"/>
        <v>775.68954473604867</v>
      </c>
      <c r="F74" s="33">
        <f t="shared" si="3"/>
        <v>150</v>
      </c>
      <c r="G74" s="33">
        <f t="shared" si="4"/>
        <v>925.68954473604867</v>
      </c>
      <c r="H74" s="33">
        <f t="shared" si="5"/>
        <v>286812.59748547792</v>
      </c>
    </row>
    <row r="75" spans="1:8" x14ac:dyDescent="0.15">
      <c r="A75" s="21">
        <v>59</v>
      </c>
      <c r="B75" s="33">
        <f t="shared" si="6"/>
        <v>286812.59748547792</v>
      </c>
      <c r="C75" s="33">
        <f t="shared" si="0"/>
        <v>1890.6754069781277</v>
      </c>
      <c r="D75" s="33">
        <f t="shared" si="1"/>
        <v>1111.398815256227</v>
      </c>
      <c r="E75" s="33">
        <f t="shared" si="2"/>
        <v>779.27659172190079</v>
      </c>
      <c r="F75" s="33">
        <f t="shared" si="3"/>
        <v>150</v>
      </c>
      <c r="G75" s="33">
        <f t="shared" si="4"/>
        <v>929.27659172190079</v>
      </c>
      <c r="H75" s="33">
        <f t="shared" si="5"/>
        <v>285883.320893756</v>
      </c>
    </row>
    <row r="76" spans="1:8" x14ac:dyDescent="0.15">
      <c r="A76" s="21">
        <v>60</v>
      </c>
      <c r="B76" s="33">
        <f t="shared" si="6"/>
        <v>285883.320893756</v>
      </c>
      <c r="C76" s="33">
        <f t="shared" si="0"/>
        <v>1890.6754069781277</v>
      </c>
      <c r="D76" s="33">
        <f t="shared" si="1"/>
        <v>1107.7978684633044</v>
      </c>
      <c r="E76" s="33">
        <f t="shared" si="2"/>
        <v>782.8775385148233</v>
      </c>
      <c r="F76" s="33">
        <f t="shared" si="3"/>
        <v>150</v>
      </c>
      <c r="G76" s="33">
        <f t="shared" si="4"/>
        <v>932.8775385148233</v>
      </c>
      <c r="H76" s="33">
        <f t="shared" si="5"/>
        <v>284950.44335524115</v>
      </c>
    </row>
    <row r="77" spans="1:8" x14ac:dyDescent="0.15">
      <c r="A77" s="21">
        <v>61</v>
      </c>
      <c r="B77" s="33">
        <f t="shared" si="6"/>
        <v>284950.44335524115</v>
      </c>
      <c r="C77" s="33">
        <f t="shared" si="0"/>
        <v>1890.6754069781277</v>
      </c>
      <c r="D77" s="33">
        <f t="shared" si="1"/>
        <v>1104.1829680015594</v>
      </c>
      <c r="E77" s="33">
        <f t="shared" si="2"/>
        <v>786.49243897656834</v>
      </c>
      <c r="F77" s="33">
        <f t="shared" si="3"/>
        <v>150</v>
      </c>
      <c r="G77" s="33">
        <f t="shared" si="4"/>
        <v>936.49243897656834</v>
      </c>
      <c r="H77" s="33">
        <f t="shared" si="5"/>
        <v>284013.95091626456</v>
      </c>
    </row>
    <row r="78" spans="1:8" x14ac:dyDescent="0.15">
      <c r="A78" s="21">
        <v>62</v>
      </c>
      <c r="B78" s="33">
        <f t="shared" si="6"/>
        <v>284013.95091626456</v>
      </c>
      <c r="C78" s="33">
        <f t="shared" si="0"/>
        <v>1890.6754069781277</v>
      </c>
      <c r="D78" s="33">
        <f t="shared" si="1"/>
        <v>1100.5540598005252</v>
      </c>
      <c r="E78" s="33">
        <f t="shared" si="2"/>
        <v>790.1213471776025</v>
      </c>
      <c r="F78" s="33">
        <f t="shared" si="3"/>
        <v>150</v>
      </c>
      <c r="G78" s="33">
        <f t="shared" si="4"/>
        <v>940.1213471776025</v>
      </c>
      <c r="H78" s="33">
        <f t="shared" si="5"/>
        <v>283073.82956908696</v>
      </c>
    </row>
    <row r="79" spans="1:8" x14ac:dyDescent="0.15">
      <c r="A79" s="21">
        <v>63</v>
      </c>
      <c r="B79" s="33">
        <f t="shared" si="6"/>
        <v>283073.82956908696</v>
      </c>
      <c r="C79" s="33">
        <f t="shared" si="0"/>
        <v>1890.6754069781277</v>
      </c>
      <c r="D79" s="33">
        <f t="shared" si="1"/>
        <v>1096.9110895802119</v>
      </c>
      <c r="E79" s="33">
        <f t="shared" si="2"/>
        <v>793.76431739791587</v>
      </c>
      <c r="F79" s="33">
        <f t="shared" si="3"/>
        <v>150</v>
      </c>
      <c r="G79" s="33">
        <f t="shared" si="4"/>
        <v>943.76431739791587</v>
      </c>
      <c r="H79" s="33">
        <f t="shared" si="5"/>
        <v>282130.06525168906</v>
      </c>
    </row>
    <row r="80" spans="1:8" x14ac:dyDescent="0.15">
      <c r="A80" s="21">
        <v>64</v>
      </c>
      <c r="B80" s="33">
        <f t="shared" si="6"/>
        <v>282130.06525168906</v>
      </c>
      <c r="C80" s="33">
        <f t="shared" si="0"/>
        <v>1890.6754069781277</v>
      </c>
      <c r="D80" s="33">
        <f t="shared" si="1"/>
        <v>1093.2540028502951</v>
      </c>
      <c r="E80" s="33">
        <f t="shared" si="2"/>
        <v>797.4214041278326</v>
      </c>
      <c r="F80" s="33">
        <f t="shared" si="3"/>
        <v>150</v>
      </c>
      <c r="G80" s="33">
        <f t="shared" si="4"/>
        <v>947.4214041278326</v>
      </c>
      <c r="H80" s="33">
        <f t="shared" si="5"/>
        <v>281182.64384756121</v>
      </c>
    </row>
    <row r="81" spans="1:8" x14ac:dyDescent="0.15">
      <c r="A81" s="21">
        <v>65</v>
      </c>
      <c r="B81" s="33">
        <f t="shared" si="6"/>
        <v>281182.64384756121</v>
      </c>
      <c r="C81" s="33">
        <f t="shared" ref="C81:C144" si="7">$B$13</f>
        <v>1890.6754069781277</v>
      </c>
      <c r="D81" s="33">
        <f t="shared" ref="D81:D144" si="8">B81*$B$12</f>
        <v>1089.5827449092997</v>
      </c>
      <c r="E81" s="33">
        <f t="shared" ref="E81:E144" si="9">C81-D81</f>
        <v>801.09266206882808</v>
      </c>
      <c r="F81" s="33">
        <f t="shared" ref="F81:F144" si="10">IF(B81&gt;0,$B$10,0)</f>
        <v>150</v>
      </c>
      <c r="G81" s="33">
        <f t="shared" ref="G81:G144" si="11">MIN(B81,E81+F81)</f>
        <v>951.09266206882808</v>
      </c>
      <c r="H81" s="33">
        <f t="shared" ref="H81:H144" si="12">MAX(0,B81-G81)</f>
        <v>280231.55118549237</v>
      </c>
    </row>
    <row r="82" spans="1:8" x14ac:dyDescent="0.15">
      <c r="A82" s="21">
        <v>66</v>
      </c>
      <c r="B82" s="33">
        <f t="shared" ref="B82:B145" si="13">H81</f>
        <v>280231.55118549237</v>
      </c>
      <c r="C82" s="33">
        <f t="shared" si="7"/>
        <v>1890.6754069781277</v>
      </c>
      <c r="D82" s="33">
        <f t="shared" si="8"/>
        <v>1085.897260843783</v>
      </c>
      <c r="E82" s="33">
        <f t="shared" si="9"/>
        <v>804.77814613434475</v>
      </c>
      <c r="F82" s="33">
        <f t="shared" si="10"/>
        <v>150</v>
      </c>
      <c r="G82" s="33">
        <f t="shared" si="11"/>
        <v>954.77814613434475</v>
      </c>
      <c r="H82" s="33">
        <f t="shared" si="12"/>
        <v>279276.77303935803</v>
      </c>
    </row>
    <row r="83" spans="1:8" x14ac:dyDescent="0.15">
      <c r="A83" s="21">
        <v>67</v>
      </c>
      <c r="B83" s="33">
        <f t="shared" si="13"/>
        <v>279276.77303935803</v>
      </c>
      <c r="C83" s="33">
        <f t="shared" si="7"/>
        <v>1890.6754069781277</v>
      </c>
      <c r="D83" s="33">
        <f t="shared" si="8"/>
        <v>1082.1974955275123</v>
      </c>
      <c r="E83" s="33">
        <f t="shared" si="9"/>
        <v>808.47791145061547</v>
      </c>
      <c r="F83" s="33">
        <f t="shared" si="10"/>
        <v>150</v>
      </c>
      <c r="G83" s="33">
        <f t="shared" si="11"/>
        <v>958.47791145061547</v>
      </c>
      <c r="H83" s="33">
        <f t="shared" si="12"/>
        <v>278318.29512790742</v>
      </c>
    </row>
    <row r="84" spans="1:8" x14ac:dyDescent="0.15">
      <c r="A84" s="21">
        <v>68</v>
      </c>
      <c r="B84" s="33">
        <f t="shared" si="13"/>
        <v>278318.29512790742</v>
      </c>
      <c r="C84" s="33">
        <f t="shared" si="7"/>
        <v>1890.6754069781277</v>
      </c>
      <c r="D84" s="33">
        <f t="shared" si="8"/>
        <v>1078.4833936206412</v>
      </c>
      <c r="E84" s="33">
        <f t="shared" si="9"/>
        <v>812.19201335748653</v>
      </c>
      <c r="F84" s="33">
        <f t="shared" si="10"/>
        <v>150</v>
      </c>
      <c r="G84" s="33">
        <f t="shared" si="11"/>
        <v>962.19201335748653</v>
      </c>
      <c r="H84" s="33">
        <f t="shared" si="12"/>
        <v>277356.10311454994</v>
      </c>
    </row>
    <row r="85" spans="1:8" x14ac:dyDescent="0.15">
      <c r="A85" s="21">
        <v>69</v>
      </c>
      <c r="B85" s="33">
        <f t="shared" si="13"/>
        <v>277356.10311454994</v>
      </c>
      <c r="C85" s="33">
        <f t="shared" si="7"/>
        <v>1890.6754069781277</v>
      </c>
      <c r="D85" s="33">
        <f t="shared" si="8"/>
        <v>1074.754899568881</v>
      </c>
      <c r="E85" s="33">
        <f t="shared" si="9"/>
        <v>815.92050740924674</v>
      </c>
      <c r="F85" s="33">
        <f t="shared" si="10"/>
        <v>150</v>
      </c>
      <c r="G85" s="33">
        <f t="shared" si="11"/>
        <v>965.92050740924674</v>
      </c>
      <c r="H85" s="33">
        <f t="shared" si="12"/>
        <v>276390.18260714068</v>
      </c>
    </row>
    <row r="86" spans="1:8" x14ac:dyDescent="0.15">
      <c r="A86" s="21">
        <v>70</v>
      </c>
      <c r="B86" s="33">
        <f t="shared" si="13"/>
        <v>276390.18260714068</v>
      </c>
      <c r="C86" s="33">
        <f t="shared" si="7"/>
        <v>1890.6754069781277</v>
      </c>
      <c r="D86" s="33">
        <f t="shared" si="8"/>
        <v>1071.0119576026702</v>
      </c>
      <c r="E86" s="33">
        <f t="shared" si="9"/>
        <v>819.6634493754575</v>
      </c>
      <c r="F86" s="33">
        <f t="shared" si="10"/>
        <v>150</v>
      </c>
      <c r="G86" s="33">
        <f t="shared" si="11"/>
        <v>969.6634493754575</v>
      </c>
      <c r="H86" s="33">
        <f t="shared" si="12"/>
        <v>275420.5191577652</v>
      </c>
    </row>
    <row r="87" spans="1:8" x14ac:dyDescent="0.15">
      <c r="A87" s="21">
        <v>71</v>
      </c>
      <c r="B87" s="33">
        <f t="shared" si="13"/>
        <v>275420.5191577652</v>
      </c>
      <c r="C87" s="33">
        <f t="shared" si="7"/>
        <v>1890.6754069781277</v>
      </c>
      <c r="D87" s="33">
        <f t="shared" si="8"/>
        <v>1067.2545117363402</v>
      </c>
      <c r="E87" s="33">
        <f t="shared" si="9"/>
        <v>823.42089524178755</v>
      </c>
      <c r="F87" s="33">
        <f t="shared" si="10"/>
        <v>150</v>
      </c>
      <c r="G87" s="33">
        <f t="shared" si="11"/>
        <v>973.42089524178755</v>
      </c>
      <c r="H87" s="33">
        <f t="shared" si="12"/>
        <v>274447.09826252342</v>
      </c>
    </row>
    <row r="88" spans="1:8" x14ac:dyDescent="0.15">
      <c r="A88" s="21">
        <v>72</v>
      </c>
      <c r="B88" s="33">
        <f t="shared" si="13"/>
        <v>274447.09826252342</v>
      </c>
      <c r="C88" s="33">
        <f t="shared" si="7"/>
        <v>1890.6754069781277</v>
      </c>
      <c r="D88" s="33">
        <f t="shared" si="8"/>
        <v>1063.4825057672783</v>
      </c>
      <c r="E88" s="33">
        <f t="shared" si="9"/>
        <v>827.19290121084941</v>
      </c>
      <c r="F88" s="33">
        <f t="shared" si="10"/>
        <v>150</v>
      </c>
      <c r="G88" s="33">
        <f t="shared" si="11"/>
        <v>977.19290121084941</v>
      </c>
      <c r="H88" s="33">
        <f t="shared" si="12"/>
        <v>273469.90536131256</v>
      </c>
    </row>
    <row r="89" spans="1:8" x14ac:dyDescent="0.15">
      <c r="A89" s="21">
        <v>73</v>
      </c>
      <c r="B89" s="33">
        <f t="shared" si="13"/>
        <v>273469.90536131256</v>
      </c>
      <c r="C89" s="33">
        <f t="shared" si="7"/>
        <v>1890.6754069781277</v>
      </c>
      <c r="D89" s="33">
        <f t="shared" si="8"/>
        <v>1059.6958832750861</v>
      </c>
      <c r="E89" s="33">
        <f t="shared" si="9"/>
        <v>830.97952370304165</v>
      </c>
      <c r="F89" s="33">
        <f t="shared" si="10"/>
        <v>150</v>
      </c>
      <c r="G89" s="33">
        <f t="shared" si="11"/>
        <v>980.97952370304165</v>
      </c>
      <c r="H89" s="33">
        <f t="shared" si="12"/>
        <v>272488.92583760951</v>
      </c>
    </row>
    <row r="90" spans="1:8" x14ac:dyDescent="0.15">
      <c r="A90" s="21">
        <v>74</v>
      </c>
      <c r="B90" s="33">
        <f t="shared" si="13"/>
        <v>272488.92583760951</v>
      </c>
      <c r="C90" s="33">
        <f t="shared" si="7"/>
        <v>1890.6754069781277</v>
      </c>
      <c r="D90" s="33">
        <f t="shared" si="8"/>
        <v>1055.8945876207367</v>
      </c>
      <c r="E90" s="33">
        <f t="shared" si="9"/>
        <v>834.78081935739101</v>
      </c>
      <c r="F90" s="33">
        <f t="shared" si="10"/>
        <v>150</v>
      </c>
      <c r="G90" s="33">
        <f t="shared" si="11"/>
        <v>984.78081935739101</v>
      </c>
      <c r="H90" s="33">
        <f t="shared" si="12"/>
        <v>271504.14501825214</v>
      </c>
    </row>
    <row r="91" spans="1:8" x14ac:dyDescent="0.15">
      <c r="A91" s="21">
        <v>75</v>
      </c>
      <c r="B91" s="33">
        <f t="shared" si="13"/>
        <v>271504.14501825214</v>
      </c>
      <c r="C91" s="33">
        <f t="shared" si="7"/>
        <v>1890.6754069781277</v>
      </c>
      <c r="D91" s="33">
        <f t="shared" si="8"/>
        <v>1052.078561945727</v>
      </c>
      <c r="E91" s="33">
        <f t="shared" si="9"/>
        <v>838.59684503240078</v>
      </c>
      <c r="F91" s="33">
        <f t="shared" si="10"/>
        <v>150</v>
      </c>
      <c r="G91" s="33">
        <f t="shared" si="11"/>
        <v>988.59684503240078</v>
      </c>
      <c r="H91" s="33">
        <f t="shared" si="12"/>
        <v>270515.54817321972</v>
      </c>
    </row>
    <row r="92" spans="1:8" x14ac:dyDescent="0.15">
      <c r="A92" s="21">
        <v>76</v>
      </c>
      <c r="B92" s="33">
        <f t="shared" si="13"/>
        <v>270515.54817321972</v>
      </c>
      <c r="C92" s="33">
        <f t="shared" si="7"/>
        <v>1890.6754069781277</v>
      </c>
      <c r="D92" s="33">
        <f t="shared" si="8"/>
        <v>1048.2477491712264</v>
      </c>
      <c r="E92" s="33">
        <f t="shared" si="9"/>
        <v>842.42765780690138</v>
      </c>
      <c r="F92" s="33">
        <f t="shared" si="10"/>
        <v>150</v>
      </c>
      <c r="G92" s="33">
        <f t="shared" si="11"/>
        <v>992.42765780690138</v>
      </c>
      <c r="H92" s="33">
        <f t="shared" si="12"/>
        <v>269523.12051541283</v>
      </c>
    </row>
    <row r="93" spans="1:8" x14ac:dyDescent="0.15">
      <c r="A93" s="21">
        <v>77</v>
      </c>
      <c r="B93" s="33">
        <f t="shared" si="13"/>
        <v>269523.12051541283</v>
      </c>
      <c r="C93" s="33">
        <f t="shared" si="7"/>
        <v>1890.6754069781277</v>
      </c>
      <c r="D93" s="33">
        <f t="shared" si="8"/>
        <v>1044.4020919972247</v>
      </c>
      <c r="E93" s="33">
        <f t="shared" si="9"/>
        <v>846.27331498090302</v>
      </c>
      <c r="F93" s="33">
        <f t="shared" si="10"/>
        <v>150</v>
      </c>
      <c r="G93" s="33">
        <f t="shared" si="11"/>
        <v>996.27331498090302</v>
      </c>
      <c r="H93" s="33">
        <f t="shared" si="12"/>
        <v>268526.84720043192</v>
      </c>
    </row>
    <row r="94" spans="1:8" x14ac:dyDescent="0.15">
      <c r="A94" s="21">
        <v>78</v>
      </c>
      <c r="B94" s="33">
        <f t="shared" si="13"/>
        <v>268526.84720043192</v>
      </c>
      <c r="C94" s="33">
        <f t="shared" si="7"/>
        <v>1890.6754069781277</v>
      </c>
      <c r="D94" s="33">
        <f t="shared" si="8"/>
        <v>1040.5415329016737</v>
      </c>
      <c r="E94" s="33">
        <f t="shared" si="9"/>
        <v>850.13387407645405</v>
      </c>
      <c r="F94" s="33">
        <f t="shared" si="10"/>
        <v>150</v>
      </c>
      <c r="G94" s="33">
        <f t="shared" si="11"/>
        <v>1000.133874076454</v>
      </c>
      <c r="H94" s="33">
        <f t="shared" si="12"/>
        <v>267526.71332635544</v>
      </c>
    </row>
    <row r="95" spans="1:8" x14ac:dyDescent="0.15">
      <c r="A95" s="21">
        <v>79</v>
      </c>
      <c r="B95" s="33">
        <f t="shared" si="13"/>
        <v>267526.71332635544</v>
      </c>
      <c r="C95" s="33">
        <f t="shared" si="7"/>
        <v>1890.6754069781277</v>
      </c>
      <c r="D95" s="33">
        <f t="shared" si="8"/>
        <v>1036.6660141396274</v>
      </c>
      <c r="E95" s="33">
        <f t="shared" si="9"/>
        <v>854.00939283850039</v>
      </c>
      <c r="F95" s="33">
        <f t="shared" si="10"/>
        <v>150</v>
      </c>
      <c r="G95" s="33">
        <f t="shared" si="11"/>
        <v>1004.0093928385004</v>
      </c>
      <c r="H95" s="33">
        <f t="shared" si="12"/>
        <v>266522.70393351692</v>
      </c>
    </row>
    <row r="96" spans="1:8" x14ac:dyDescent="0.15">
      <c r="A96" s="21">
        <v>80</v>
      </c>
      <c r="B96" s="33">
        <f t="shared" si="13"/>
        <v>266522.70393351692</v>
      </c>
      <c r="C96" s="33">
        <f t="shared" si="7"/>
        <v>1890.6754069781277</v>
      </c>
      <c r="D96" s="33">
        <f t="shared" si="8"/>
        <v>1032.7754777423781</v>
      </c>
      <c r="E96" s="33">
        <f t="shared" si="9"/>
        <v>857.8999292357496</v>
      </c>
      <c r="F96" s="33">
        <f t="shared" si="10"/>
        <v>150</v>
      </c>
      <c r="G96" s="33">
        <f t="shared" si="11"/>
        <v>1007.8999292357496</v>
      </c>
      <c r="H96" s="33">
        <f t="shared" si="12"/>
        <v>265514.80400428118</v>
      </c>
    </row>
    <row r="97" spans="1:8" x14ac:dyDescent="0.15">
      <c r="A97" s="21">
        <v>81</v>
      </c>
      <c r="B97" s="33">
        <f t="shared" si="13"/>
        <v>265514.80400428118</v>
      </c>
      <c r="C97" s="33">
        <f t="shared" si="7"/>
        <v>1890.6754069781277</v>
      </c>
      <c r="D97" s="33">
        <f t="shared" si="8"/>
        <v>1028.8698655165895</v>
      </c>
      <c r="E97" s="33">
        <f t="shared" si="9"/>
        <v>861.80554146153827</v>
      </c>
      <c r="F97" s="33">
        <f t="shared" si="10"/>
        <v>150</v>
      </c>
      <c r="G97" s="33">
        <f t="shared" si="11"/>
        <v>1011.8055414615383</v>
      </c>
      <c r="H97" s="33">
        <f t="shared" si="12"/>
        <v>264502.99846281961</v>
      </c>
    </row>
    <row r="98" spans="1:8" x14ac:dyDescent="0.15">
      <c r="A98" s="21">
        <v>82</v>
      </c>
      <c r="B98" s="33">
        <f t="shared" si="13"/>
        <v>264502.99846281961</v>
      </c>
      <c r="C98" s="33">
        <f t="shared" si="7"/>
        <v>1890.6754069781277</v>
      </c>
      <c r="D98" s="33">
        <f t="shared" si="8"/>
        <v>1024.949119043426</v>
      </c>
      <c r="E98" s="33">
        <f t="shared" si="9"/>
        <v>865.72628793470176</v>
      </c>
      <c r="F98" s="33">
        <f t="shared" si="10"/>
        <v>150</v>
      </c>
      <c r="G98" s="33">
        <f t="shared" si="11"/>
        <v>1015.7262879347018</v>
      </c>
      <c r="H98" s="33">
        <f t="shared" si="12"/>
        <v>263487.27217488491</v>
      </c>
    </row>
    <row r="99" spans="1:8" x14ac:dyDescent="0.15">
      <c r="A99" s="21">
        <v>83</v>
      </c>
      <c r="B99" s="33">
        <f t="shared" si="13"/>
        <v>263487.27217488491</v>
      </c>
      <c r="C99" s="33">
        <f t="shared" si="7"/>
        <v>1890.6754069781277</v>
      </c>
      <c r="D99" s="33">
        <f t="shared" si="8"/>
        <v>1021.0131796776791</v>
      </c>
      <c r="E99" s="33">
        <f t="shared" si="9"/>
        <v>869.66222730044865</v>
      </c>
      <c r="F99" s="33">
        <f t="shared" si="10"/>
        <v>150</v>
      </c>
      <c r="G99" s="33">
        <f t="shared" si="11"/>
        <v>1019.6622273004486</v>
      </c>
      <c r="H99" s="33">
        <f t="shared" si="12"/>
        <v>262467.60994758445</v>
      </c>
    </row>
    <row r="100" spans="1:8" x14ac:dyDescent="0.15">
      <c r="A100" s="21">
        <v>84</v>
      </c>
      <c r="B100" s="33">
        <f t="shared" si="13"/>
        <v>262467.60994758445</v>
      </c>
      <c r="C100" s="33">
        <f t="shared" si="7"/>
        <v>1890.6754069781277</v>
      </c>
      <c r="D100" s="33">
        <f t="shared" si="8"/>
        <v>1017.0619885468898</v>
      </c>
      <c r="E100" s="33">
        <f t="shared" si="9"/>
        <v>873.61341843123796</v>
      </c>
      <c r="F100" s="33">
        <f t="shared" si="10"/>
        <v>150</v>
      </c>
      <c r="G100" s="33">
        <f t="shared" si="11"/>
        <v>1023.613418431238</v>
      </c>
      <c r="H100" s="33">
        <f t="shared" si="12"/>
        <v>261443.99652915323</v>
      </c>
    </row>
    <row r="101" spans="1:8" x14ac:dyDescent="0.15">
      <c r="A101" s="21">
        <v>85</v>
      </c>
      <c r="B101" s="33">
        <f t="shared" si="13"/>
        <v>261443.99652915323</v>
      </c>
      <c r="C101" s="33">
        <f t="shared" si="7"/>
        <v>1890.6754069781277</v>
      </c>
      <c r="D101" s="33">
        <f t="shared" si="8"/>
        <v>1013.0954865504688</v>
      </c>
      <c r="E101" s="33">
        <f t="shared" si="9"/>
        <v>877.57992042765898</v>
      </c>
      <c r="F101" s="33">
        <f t="shared" si="10"/>
        <v>150</v>
      </c>
      <c r="G101" s="33">
        <f t="shared" si="11"/>
        <v>1027.5799204276591</v>
      </c>
      <c r="H101" s="33">
        <f t="shared" si="12"/>
        <v>260416.41660872556</v>
      </c>
    </row>
    <row r="102" spans="1:8" x14ac:dyDescent="0.15">
      <c r="A102" s="21">
        <v>86</v>
      </c>
      <c r="B102" s="33">
        <f t="shared" si="13"/>
        <v>260416.41660872556</v>
      </c>
      <c r="C102" s="33">
        <f t="shared" si="7"/>
        <v>1890.6754069781277</v>
      </c>
      <c r="D102" s="33">
        <f t="shared" si="8"/>
        <v>1009.1136143588116</v>
      </c>
      <c r="E102" s="33">
        <f t="shared" si="9"/>
        <v>881.56179261931618</v>
      </c>
      <c r="F102" s="33">
        <f t="shared" si="10"/>
        <v>150</v>
      </c>
      <c r="G102" s="33">
        <f t="shared" si="11"/>
        <v>1031.5617926193163</v>
      </c>
      <c r="H102" s="33">
        <f t="shared" si="12"/>
        <v>259384.85481610624</v>
      </c>
    </row>
    <row r="103" spans="1:8" x14ac:dyDescent="0.15">
      <c r="A103" s="21">
        <v>87</v>
      </c>
      <c r="B103" s="33">
        <f t="shared" si="13"/>
        <v>259384.85481610624</v>
      </c>
      <c r="C103" s="33">
        <f t="shared" si="7"/>
        <v>1890.6754069781277</v>
      </c>
      <c r="D103" s="33">
        <f t="shared" si="8"/>
        <v>1005.1163124124116</v>
      </c>
      <c r="E103" s="33">
        <f t="shared" si="9"/>
        <v>885.55909456571612</v>
      </c>
      <c r="F103" s="33">
        <f t="shared" si="10"/>
        <v>150</v>
      </c>
      <c r="G103" s="33">
        <f t="shared" si="11"/>
        <v>1035.5590945657161</v>
      </c>
      <c r="H103" s="33">
        <f t="shared" si="12"/>
        <v>258349.29572154052</v>
      </c>
    </row>
    <row r="104" spans="1:8" x14ac:dyDescent="0.15">
      <c r="A104" s="21">
        <v>88</v>
      </c>
      <c r="B104" s="33">
        <f t="shared" si="13"/>
        <v>258349.29572154052</v>
      </c>
      <c r="C104" s="33">
        <f t="shared" si="7"/>
        <v>1890.6754069781277</v>
      </c>
      <c r="D104" s="33">
        <f t="shared" si="8"/>
        <v>1001.1035209209695</v>
      </c>
      <c r="E104" s="33">
        <f t="shared" si="9"/>
        <v>889.57188605715828</v>
      </c>
      <c r="F104" s="33">
        <f t="shared" si="10"/>
        <v>150</v>
      </c>
      <c r="G104" s="33">
        <f t="shared" si="11"/>
        <v>1039.5718860571583</v>
      </c>
      <c r="H104" s="33">
        <f t="shared" si="12"/>
        <v>257309.72383548337</v>
      </c>
    </row>
    <row r="105" spans="1:8" x14ac:dyDescent="0.15">
      <c r="A105" s="21">
        <v>89</v>
      </c>
      <c r="B105" s="33">
        <f t="shared" si="13"/>
        <v>257309.72383548337</v>
      </c>
      <c r="C105" s="33">
        <f t="shared" si="7"/>
        <v>1890.6754069781277</v>
      </c>
      <c r="D105" s="33">
        <f t="shared" si="8"/>
        <v>997.07517986249809</v>
      </c>
      <c r="E105" s="33">
        <f t="shared" si="9"/>
        <v>893.60022711562965</v>
      </c>
      <c r="F105" s="33">
        <f t="shared" si="10"/>
        <v>150</v>
      </c>
      <c r="G105" s="33">
        <f t="shared" si="11"/>
        <v>1043.6002271156297</v>
      </c>
      <c r="H105" s="33">
        <f t="shared" si="12"/>
        <v>256266.12360836775</v>
      </c>
    </row>
    <row r="106" spans="1:8" x14ac:dyDescent="0.15">
      <c r="A106" s="21">
        <v>90</v>
      </c>
      <c r="B106" s="33">
        <f t="shared" si="13"/>
        <v>256266.12360836775</v>
      </c>
      <c r="C106" s="33">
        <f t="shared" si="7"/>
        <v>1890.6754069781277</v>
      </c>
      <c r="D106" s="33">
        <f t="shared" si="8"/>
        <v>993.03122898242498</v>
      </c>
      <c r="E106" s="33">
        <f t="shared" si="9"/>
        <v>897.64417799570276</v>
      </c>
      <c r="F106" s="33">
        <f t="shared" si="10"/>
        <v>150</v>
      </c>
      <c r="G106" s="33">
        <f t="shared" si="11"/>
        <v>1047.6441779957026</v>
      </c>
      <c r="H106" s="33">
        <f t="shared" si="12"/>
        <v>255218.47943037204</v>
      </c>
    </row>
    <row r="107" spans="1:8" x14ac:dyDescent="0.15">
      <c r="A107" s="21">
        <v>91</v>
      </c>
      <c r="B107" s="33">
        <f t="shared" si="13"/>
        <v>255218.47943037204</v>
      </c>
      <c r="C107" s="33">
        <f t="shared" si="7"/>
        <v>1890.6754069781277</v>
      </c>
      <c r="D107" s="33">
        <f t="shared" si="8"/>
        <v>988.97160779269166</v>
      </c>
      <c r="E107" s="33">
        <f t="shared" si="9"/>
        <v>901.70379918543608</v>
      </c>
      <c r="F107" s="33">
        <f t="shared" si="10"/>
        <v>150</v>
      </c>
      <c r="G107" s="33">
        <f t="shared" si="11"/>
        <v>1051.7037991854361</v>
      </c>
      <c r="H107" s="33">
        <f t="shared" si="12"/>
        <v>254166.77563118661</v>
      </c>
    </row>
    <row r="108" spans="1:8" x14ac:dyDescent="0.15">
      <c r="A108" s="21">
        <v>92</v>
      </c>
      <c r="B108" s="33">
        <f t="shared" si="13"/>
        <v>254166.77563118661</v>
      </c>
      <c r="C108" s="33">
        <f t="shared" si="7"/>
        <v>1890.6754069781277</v>
      </c>
      <c r="D108" s="33">
        <f t="shared" si="8"/>
        <v>984.8962555708481</v>
      </c>
      <c r="E108" s="33">
        <f t="shared" si="9"/>
        <v>905.77915140727964</v>
      </c>
      <c r="F108" s="33">
        <f t="shared" si="10"/>
        <v>150</v>
      </c>
      <c r="G108" s="33">
        <f t="shared" si="11"/>
        <v>1055.7791514072796</v>
      </c>
      <c r="H108" s="33">
        <f t="shared" si="12"/>
        <v>253110.99647977934</v>
      </c>
    </row>
    <row r="109" spans="1:8" x14ac:dyDescent="0.15">
      <c r="A109" s="21">
        <v>93</v>
      </c>
      <c r="B109" s="33">
        <f t="shared" si="13"/>
        <v>253110.99647977934</v>
      </c>
      <c r="C109" s="33">
        <f t="shared" si="7"/>
        <v>1890.6754069781277</v>
      </c>
      <c r="D109" s="33">
        <f t="shared" si="8"/>
        <v>980.80511135914492</v>
      </c>
      <c r="E109" s="33">
        <f t="shared" si="9"/>
        <v>909.87029561898282</v>
      </c>
      <c r="F109" s="33">
        <f t="shared" si="10"/>
        <v>150</v>
      </c>
      <c r="G109" s="33">
        <f t="shared" si="11"/>
        <v>1059.8702956189827</v>
      </c>
      <c r="H109" s="33">
        <f t="shared" si="12"/>
        <v>252051.12618416036</v>
      </c>
    </row>
    <row r="110" spans="1:8" x14ac:dyDescent="0.15">
      <c r="A110" s="21">
        <v>94</v>
      </c>
      <c r="B110" s="33">
        <f t="shared" si="13"/>
        <v>252051.12618416036</v>
      </c>
      <c r="C110" s="33">
        <f t="shared" si="7"/>
        <v>1890.6754069781277</v>
      </c>
      <c r="D110" s="33">
        <f t="shared" si="8"/>
        <v>976.69811396362138</v>
      </c>
      <c r="E110" s="33">
        <f t="shared" si="9"/>
        <v>913.97729301450636</v>
      </c>
      <c r="F110" s="33">
        <f t="shared" si="10"/>
        <v>150</v>
      </c>
      <c r="G110" s="33">
        <f t="shared" si="11"/>
        <v>1063.9772930145064</v>
      </c>
      <c r="H110" s="33">
        <f t="shared" si="12"/>
        <v>250987.14889114586</v>
      </c>
    </row>
    <row r="111" spans="1:8" x14ac:dyDescent="0.15">
      <c r="A111" s="21">
        <v>95</v>
      </c>
      <c r="B111" s="33">
        <f t="shared" si="13"/>
        <v>250987.14889114586</v>
      </c>
      <c r="C111" s="33">
        <f t="shared" si="7"/>
        <v>1890.6754069781277</v>
      </c>
      <c r="D111" s="33">
        <f t="shared" si="8"/>
        <v>972.57520195319023</v>
      </c>
      <c r="E111" s="33">
        <f t="shared" si="9"/>
        <v>918.10020502493751</v>
      </c>
      <c r="F111" s="33">
        <f t="shared" si="10"/>
        <v>150</v>
      </c>
      <c r="G111" s="33">
        <f t="shared" si="11"/>
        <v>1068.1002050249376</v>
      </c>
      <c r="H111" s="33">
        <f t="shared" si="12"/>
        <v>249919.04868612092</v>
      </c>
    </row>
    <row r="112" spans="1:8" x14ac:dyDescent="0.15">
      <c r="A112" s="21">
        <v>96</v>
      </c>
      <c r="B112" s="33">
        <f t="shared" si="13"/>
        <v>249919.04868612092</v>
      </c>
      <c r="C112" s="33">
        <f t="shared" si="7"/>
        <v>1890.6754069781277</v>
      </c>
      <c r="D112" s="33">
        <f t="shared" si="8"/>
        <v>968.43631365871852</v>
      </c>
      <c r="E112" s="33">
        <f t="shared" si="9"/>
        <v>922.23909331940922</v>
      </c>
      <c r="F112" s="33">
        <f t="shared" si="10"/>
        <v>150</v>
      </c>
      <c r="G112" s="33">
        <f t="shared" si="11"/>
        <v>1072.2390933194092</v>
      </c>
      <c r="H112" s="33">
        <f t="shared" si="12"/>
        <v>248846.80959280152</v>
      </c>
    </row>
    <row r="113" spans="1:8" x14ac:dyDescent="0.15">
      <c r="A113" s="21">
        <v>97</v>
      </c>
      <c r="B113" s="33">
        <f t="shared" si="13"/>
        <v>248846.80959280152</v>
      </c>
      <c r="C113" s="33">
        <f t="shared" si="7"/>
        <v>1890.6754069781277</v>
      </c>
      <c r="D113" s="33">
        <f t="shared" si="8"/>
        <v>964.28138717210595</v>
      </c>
      <c r="E113" s="33">
        <f t="shared" si="9"/>
        <v>926.39401980602179</v>
      </c>
      <c r="F113" s="33">
        <f t="shared" si="10"/>
        <v>150</v>
      </c>
      <c r="G113" s="33">
        <f t="shared" si="11"/>
        <v>1076.3940198060218</v>
      </c>
      <c r="H113" s="33">
        <f t="shared" si="12"/>
        <v>247770.41557299549</v>
      </c>
    </row>
    <row r="114" spans="1:8" x14ac:dyDescent="0.15">
      <c r="A114" s="21">
        <v>98</v>
      </c>
      <c r="B114" s="33">
        <f t="shared" si="13"/>
        <v>247770.41557299549</v>
      </c>
      <c r="C114" s="33">
        <f t="shared" si="7"/>
        <v>1890.6754069781277</v>
      </c>
      <c r="D114" s="33">
        <f t="shared" si="8"/>
        <v>960.11036034535755</v>
      </c>
      <c r="E114" s="33">
        <f t="shared" si="9"/>
        <v>930.56504663277019</v>
      </c>
      <c r="F114" s="33">
        <f t="shared" si="10"/>
        <v>150</v>
      </c>
      <c r="G114" s="33">
        <f t="shared" si="11"/>
        <v>1080.5650466327702</v>
      </c>
      <c r="H114" s="33">
        <f t="shared" si="12"/>
        <v>246689.85052636272</v>
      </c>
    </row>
    <row r="115" spans="1:8" x14ac:dyDescent="0.15">
      <c r="A115" s="21">
        <v>99</v>
      </c>
      <c r="B115" s="33">
        <f t="shared" si="13"/>
        <v>246689.85052636272</v>
      </c>
      <c r="C115" s="33">
        <f t="shared" si="7"/>
        <v>1890.6754069781277</v>
      </c>
      <c r="D115" s="33">
        <f t="shared" si="8"/>
        <v>955.9231707896555</v>
      </c>
      <c r="E115" s="33">
        <f t="shared" si="9"/>
        <v>934.75223618847224</v>
      </c>
      <c r="F115" s="33">
        <f t="shared" si="10"/>
        <v>150</v>
      </c>
      <c r="G115" s="33">
        <f t="shared" si="11"/>
        <v>1084.7522361884721</v>
      </c>
      <c r="H115" s="33">
        <f t="shared" si="12"/>
        <v>245605.09829017424</v>
      </c>
    </row>
    <row r="116" spans="1:8" x14ac:dyDescent="0.15">
      <c r="A116" s="21">
        <v>100</v>
      </c>
      <c r="B116" s="33">
        <f t="shared" si="13"/>
        <v>245605.09829017424</v>
      </c>
      <c r="C116" s="33">
        <f t="shared" si="7"/>
        <v>1890.6754069781277</v>
      </c>
      <c r="D116" s="33">
        <f t="shared" si="8"/>
        <v>951.71975587442512</v>
      </c>
      <c r="E116" s="33">
        <f t="shared" si="9"/>
        <v>938.95565110370262</v>
      </c>
      <c r="F116" s="33">
        <f t="shared" si="10"/>
        <v>150</v>
      </c>
      <c r="G116" s="33">
        <f t="shared" si="11"/>
        <v>1088.9556511037026</v>
      </c>
      <c r="H116" s="33">
        <f t="shared" si="12"/>
        <v>244516.14263907055</v>
      </c>
    </row>
    <row r="117" spans="1:8" x14ac:dyDescent="0.15">
      <c r="A117" s="21">
        <v>101</v>
      </c>
      <c r="B117" s="33">
        <f t="shared" si="13"/>
        <v>244516.14263907055</v>
      </c>
      <c r="C117" s="33">
        <f t="shared" si="7"/>
        <v>1890.6754069781277</v>
      </c>
      <c r="D117" s="33">
        <f t="shared" si="8"/>
        <v>947.50005272639839</v>
      </c>
      <c r="E117" s="33">
        <f t="shared" si="9"/>
        <v>943.17535425172935</v>
      </c>
      <c r="F117" s="33">
        <f t="shared" si="10"/>
        <v>150</v>
      </c>
      <c r="G117" s="33">
        <f t="shared" si="11"/>
        <v>1093.1753542517295</v>
      </c>
      <c r="H117" s="33">
        <f t="shared" si="12"/>
        <v>243422.96728481882</v>
      </c>
    </row>
    <row r="118" spans="1:8" x14ac:dyDescent="0.15">
      <c r="A118" s="21">
        <v>102</v>
      </c>
      <c r="B118" s="33">
        <f t="shared" si="13"/>
        <v>243422.96728481882</v>
      </c>
      <c r="C118" s="33">
        <f t="shared" si="7"/>
        <v>1890.6754069781277</v>
      </c>
      <c r="D118" s="33">
        <f t="shared" si="8"/>
        <v>943.2639982286729</v>
      </c>
      <c r="E118" s="33">
        <f t="shared" si="9"/>
        <v>947.41140874945484</v>
      </c>
      <c r="F118" s="33">
        <f t="shared" si="10"/>
        <v>150</v>
      </c>
      <c r="G118" s="33">
        <f t="shared" si="11"/>
        <v>1097.4114087494549</v>
      </c>
      <c r="H118" s="33">
        <f t="shared" si="12"/>
        <v>242325.55587606935</v>
      </c>
    </row>
    <row r="119" spans="1:8" x14ac:dyDescent="0.15">
      <c r="A119" s="21">
        <v>103</v>
      </c>
      <c r="B119" s="33">
        <f t="shared" si="13"/>
        <v>242325.55587606935</v>
      </c>
      <c r="C119" s="33">
        <f t="shared" si="7"/>
        <v>1890.6754069781277</v>
      </c>
      <c r="D119" s="33">
        <f t="shared" si="8"/>
        <v>939.01152901976877</v>
      </c>
      <c r="E119" s="33">
        <f t="shared" si="9"/>
        <v>951.66387795835897</v>
      </c>
      <c r="F119" s="33">
        <f t="shared" si="10"/>
        <v>150</v>
      </c>
      <c r="G119" s="33">
        <f t="shared" si="11"/>
        <v>1101.6638779583591</v>
      </c>
      <c r="H119" s="33">
        <f t="shared" si="12"/>
        <v>241223.89199811098</v>
      </c>
    </row>
    <row r="120" spans="1:8" x14ac:dyDescent="0.15">
      <c r="A120" s="21">
        <v>104</v>
      </c>
      <c r="B120" s="33">
        <f t="shared" si="13"/>
        <v>241223.89199811098</v>
      </c>
      <c r="C120" s="33">
        <f t="shared" si="7"/>
        <v>1890.6754069781277</v>
      </c>
      <c r="D120" s="33">
        <f t="shared" si="8"/>
        <v>934.74258149268007</v>
      </c>
      <c r="E120" s="33">
        <f t="shared" si="9"/>
        <v>955.93282548544767</v>
      </c>
      <c r="F120" s="33">
        <f t="shared" si="10"/>
        <v>150</v>
      </c>
      <c r="G120" s="33">
        <f t="shared" si="11"/>
        <v>1105.9328254854477</v>
      </c>
      <c r="H120" s="33">
        <f t="shared" si="12"/>
        <v>240117.95917262553</v>
      </c>
    </row>
    <row r="121" spans="1:8" x14ac:dyDescent="0.15">
      <c r="A121" s="21">
        <v>105</v>
      </c>
      <c r="B121" s="33">
        <f t="shared" si="13"/>
        <v>240117.95917262553</v>
      </c>
      <c r="C121" s="33">
        <f t="shared" si="7"/>
        <v>1890.6754069781277</v>
      </c>
      <c r="D121" s="33">
        <f t="shared" si="8"/>
        <v>930.45709179392395</v>
      </c>
      <c r="E121" s="33">
        <f t="shared" si="9"/>
        <v>960.21831518420379</v>
      </c>
      <c r="F121" s="33">
        <f t="shared" si="10"/>
        <v>150</v>
      </c>
      <c r="G121" s="33">
        <f t="shared" si="11"/>
        <v>1110.2183151842037</v>
      </c>
      <c r="H121" s="33">
        <f t="shared" si="12"/>
        <v>239007.74085744133</v>
      </c>
    </row>
    <row r="122" spans="1:8" x14ac:dyDescent="0.15">
      <c r="A122" s="21">
        <v>106</v>
      </c>
      <c r="B122" s="33">
        <f t="shared" si="13"/>
        <v>239007.74085744133</v>
      </c>
      <c r="C122" s="33">
        <f t="shared" si="7"/>
        <v>1890.6754069781277</v>
      </c>
      <c r="D122" s="33">
        <f t="shared" si="8"/>
        <v>926.15499582258519</v>
      </c>
      <c r="E122" s="33">
        <f t="shared" si="9"/>
        <v>964.52041115554255</v>
      </c>
      <c r="F122" s="33">
        <f t="shared" si="10"/>
        <v>150</v>
      </c>
      <c r="G122" s="33">
        <f t="shared" si="11"/>
        <v>1114.5204111555427</v>
      </c>
      <c r="H122" s="33">
        <f t="shared" si="12"/>
        <v>237893.22044628579</v>
      </c>
    </row>
    <row r="123" spans="1:8" x14ac:dyDescent="0.15">
      <c r="A123" s="21">
        <v>107</v>
      </c>
      <c r="B123" s="33">
        <f t="shared" si="13"/>
        <v>237893.22044628579</v>
      </c>
      <c r="C123" s="33">
        <f t="shared" si="7"/>
        <v>1890.6754069781277</v>
      </c>
      <c r="D123" s="33">
        <f t="shared" si="8"/>
        <v>921.8362292293574</v>
      </c>
      <c r="E123" s="33">
        <f t="shared" si="9"/>
        <v>968.83917774877034</v>
      </c>
      <c r="F123" s="33">
        <f t="shared" si="10"/>
        <v>150</v>
      </c>
      <c r="G123" s="33">
        <f t="shared" si="11"/>
        <v>1118.8391777487705</v>
      </c>
      <c r="H123" s="33">
        <f t="shared" si="12"/>
        <v>236774.38126853702</v>
      </c>
    </row>
    <row r="124" spans="1:8" x14ac:dyDescent="0.15">
      <c r="A124" s="21">
        <v>108</v>
      </c>
      <c r="B124" s="33">
        <f t="shared" si="13"/>
        <v>236774.38126853702</v>
      </c>
      <c r="C124" s="33">
        <f t="shared" si="7"/>
        <v>1890.6754069781277</v>
      </c>
      <c r="D124" s="33">
        <f t="shared" si="8"/>
        <v>917.50072741558097</v>
      </c>
      <c r="E124" s="33">
        <f t="shared" si="9"/>
        <v>973.17467956254677</v>
      </c>
      <c r="F124" s="33">
        <f t="shared" si="10"/>
        <v>150</v>
      </c>
      <c r="G124" s="33">
        <f t="shared" si="11"/>
        <v>1123.1746795625468</v>
      </c>
      <c r="H124" s="33">
        <f t="shared" si="12"/>
        <v>235651.20658897448</v>
      </c>
    </row>
    <row r="125" spans="1:8" x14ac:dyDescent="0.15">
      <c r="A125" s="21">
        <v>109</v>
      </c>
      <c r="B125" s="33">
        <f t="shared" si="13"/>
        <v>235651.20658897448</v>
      </c>
      <c r="C125" s="33">
        <f t="shared" si="7"/>
        <v>1890.6754069781277</v>
      </c>
      <c r="D125" s="33">
        <f t="shared" si="8"/>
        <v>913.14842553227606</v>
      </c>
      <c r="E125" s="33">
        <f t="shared" si="9"/>
        <v>977.52698144585167</v>
      </c>
      <c r="F125" s="33">
        <f t="shared" si="10"/>
        <v>150</v>
      </c>
      <c r="G125" s="33">
        <f t="shared" si="11"/>
        <v>1127.5269814458516</v>
      </c>
      <c r="H125" s="33">
        <f t="shared" si="12"/>
        <v>234523.67960752864</v>
      </c>
    </row>
    <row r="126" spans="1:8" x14ac:dyDescent="0.15">
      <c r="A126" s="21">
        <v>110</v>
      </c>
      <c r="B126" s="33">
        <f t="shared" si="13"/>
        <v>234523.67960752864</v>
      </c>
      <c r="C126" s="33">
        <f t="shared" si="7"/>
        <v>1890.6754069781277</v>
      </c>
      <c r="D126" s="33">
        <f t="shared" si="8"/>
        <v>908.77925847917345</v>
      </c>
      <c r="E126" s="33">
        <f t="shared" si="9"/>
        <v>981.89614849895429</v>
      </c>
      <c r="F126" s="33">
        <f t="shared" si="10"/>
        <v>150</v>
      </c>
      <c r="G126" s="33">
        <f t="shared" si="11"/>
        <v>1131.8961484989543</v>
      </c>
      <c r="H126" s="33">
        <f t="shared" si="12"/>
        <v>233391.78345902968</v>
      </c>
    </row>
    <row r="127" spans="1:8" x14ac:dyDescent="0.15">
      <c r="A127" s="21">
        <v>111</v>
      </c>
      <c r="B127" s="33">
        <f t="shared" si="13"/>
        <v>233391.78345902968</v>
      </c>
      <c r="C127" s="33">
        <f t="shared" si="7"/>
        <v>1890.6754069781277</v>
      </c>
      <c r="D127" s="33">
        <f t="shared" si="8"/>
        <v>904.39316090374007</v>
      </c>
      <c r="E127" s="33">
        <f t="shared" si="9"/>
        <v>986.28224607438767</v>
      </c>
      <c r="F127" s="33">
        <f t="shared" si="10"/>
        <v>150</v>
      </c>
      <c r="G127" s="33">
        <f t="shared" si="11"/>
        <v>1136.2822460743878</v>
      </c>
      <c r="H127" s="33">
        <f t="shared" si="12"/>
        <v>232255.50121295531</v>
      </c>
    </row>
    <row r="128" spans="1:8" x14ac:dyDescent="0.15">
      <c r="A128" s="21">
        <v>112</v>
      </c>
      <c r="B128" s="33">
        <f t="shared" si="13"/>
        <v>232255.50121295531</v>
      </c>
      <c r="C128" s="33">
        <f t="shared" si="7"/>
        <v>1890.6754069781277</v>
      </c>
      <c r="D128" s="33">
        <f t="shared" si="8"/>
        <v>899.99006720020179</v>
      </c>
      <c r="E128" s="33">
        <f t="shared" si="9"/>
        <v>990.68533977792595</v>
      </c>
      <c r="F128" s="33">
        <f t="shared" si="10"/>
        <v>150</v>
      </c>
      <c r="G128" s="33">
        <f t="shared" si="11"/>
        <v>1140.6853397779259</v>
      </c>
      <c r="H128" s="33">
        <f t="shared" si="12"/>
        <v>231114.81587317737</v>
      </c>
    </row>
    <row r="129" spans="1:8" x14ac:dyDescent="0.15">
      <c r="A129" s="21">
        <v>113</v>
      </c>
      <c r="B129" s="33">
        <f t="shared" si="13"/>
        <v>231114.81587317737</v>
      </c>
      <c r="C129" s="33">
        <f t="shared" si="7"/>
        <v>1890.6754069781277</v>
      </c>
      <c r="D129" s="33">
        <f t="shared" si="8"/>
        <v>895.56991150856231</v>
      </c>
      <c r="E129" s="33">
        <f t="shared" si="9"/>
        <v>995.10549546956543</v>
      </c>
      <c r="F129" s="33">
        <f t="shared" si="10"/>
        <v>150</v>
      </c>
      <c r="G129" s="33">
        <f t="shared" si="11"/>
        <v>1145.1054954695655</v>
      </c>
      <c r="H129" s="33">
        <f t="shared" si="12"/>
        <v>229969.71037770782</v>
      </c>
    </row>
    <row r="130" spans="1:8" x14ac:dyDescent="0.15">
      <c r="A130" s="21">
        <v>114</v>
      </c>
      <c r="B130" s="33">
        <f t="shared" si="13"/>
        <v>229969.71037770782</v>
      </c>
      <c r="C130" s="33">
        <f t="shared" si="7"/>
        <v>1890.6754069781277</v>
      </c>
      <c r="D130" s="33">
        <f t="shared" si="8"/>
        <v>891.13262771361781</v>
      </c>
      <c r="E130" s="33">
        <f t="shared" si="9"/>
        <v>999.54277926450993</v>
      </c>
      <c r="F130" s="33">
        <f t="shared" si="10"/>
        <v>150</v>
      </c>
      <c r="G130" s="33">
        <f t="shared" si="11"/>
        <v>1149.54277926451</v>
      </c>
      <c r="H130" s="33">
        <f t="shared" si="12"/>
        <v>228820.16759844331</v>
      </c>
    </row>
    <row r="131" spans="1:8" x14ac:dyDescent="0.15">
      <c r="A131" s="21">
        <v>115</v>
      </c>
      <c r="B131" s="33">
        <f t="shared" si="13"/>
        <v>228820.16759844331</v>
      </c>
      <c r="C131" s="33">
        <f t="shared" si="7"/>
        <v>1890.6754069781277</v>
      </c>
      <c r="D131" s="33">
        <f t="shared" si="8"/>
        <v>886.67814944396787</v>
      </c>
      <c r="E131" s="33">
        <f t="shared" si="9"/>
        <v>1003.9972575341599</v>
      </c>
      <c r="F131" s="33">
        <f t="shared" si="10"/>
        <v>150</v>
      </c>
      <c r="G131" s="33">
        <f t="shared" si="11"/>
        <v>1153.9972575341599</v>
      </c>
      <c r="H131" s="33">
        <f t="shared" si="12"/>
        <v>227666.17034090916</v>
      </c>
    </row>
    <row r="132" spans="1:8" x14ac:dyDescent="0.15">
      <c r="A132" s="21">
        <v>116</v>
      </c>
      <c r="B132" s="33">
        <f t="shared" si="13"/>
        <v>227666.17034090916</v>
      </c>
      <c r="C132" s="33">
        <f t="shared" si="7"/>
        <v>1890.6754069781277</v>
      </c>
      <c r="D132" s="33">
        <f t="shared" si="8"/>
        <v>882.20641007102302</v>
      </c>
      <c r="E132" s="33">
        <f t="shared" si="9"/>
        <v>1008.4689969071047</v>
      </c>
      <c r="F132" s="33">
        <f t="shared" si="10"/>
        <v>150</v>
      </c>
      <c r="G132" s="33">
        <f t="shared" si="11"/>
        <v>1158.4689969071046</v>
      </c>
      <c r="H132" s="33">
        <f t="shared" si="12"/>
        <v>226507.70134400204</v>
      </c>
    </row>
    <row r="133" spans="1:8" x14ac:dyDescent="0.15">
      <c r="A133" s="21">
        <v>117</v>
      </c>
      <c r="B133" s="33">
        <f t="shared" si="13"/>
        <v>226507.70134400204</v>
      </c>
      <c r="C133" s="33">
        <f t="shared" si="7"/>
        <v>1890.6754069781277</v>
      </c>
      <c r="D133" s="33">
        <f t="shared" si="8"/>
        <v>877.71734270800789</v>
      </c>
      <c r="E133" s="33">
        <f t="shared" si="9"/>
        <v>1012.9580642701198</v>
      </c>
      <c r="F133" s="33">
        <f t="shared" si="10"/>
        <v>150</v>
      </c>
      <c r="G133" s="33">
        <f t="shared" si="11"/>
        <v>1162.9580642701198</v>
      </c>
      <c r="H133" s="33">
        <f t="shared" si="12"/>
        <v>225344.74327973192</v>
      </c>
    </row>
    <row r="134" spans="1:8" x14ac:dyDescent="0.15">
      <c r="A134" s="21">
        <v>118</v>
      </c>
      <c r="B134" s="33">
        <f t="shared" si="13"/>
        <v>225344.74327973192</v>
      </c>
      <c r="C134" s="33">
        <f t="shared" si="7"/>
        <v>1890.6754069781277</v>
      </c>
      <c r="D134" s="33">
        <f t="shared" si="8"/>
        <v>873.21088020896116</v>
      </c>
      <c r="E134" s="33">
        <f t="shared" si="9"/>
        <v>1017.4645267691666</v>
      </c>
      <c r="F134" s="33">
        <f t="shared" si="10"/>
        <v>150</v>
      </c>
      <c r="G134" s="33">
        <f t="shared" si="11"/>
        <v>1167.4645267691667</v>
      </c>
      <c r="H134" s="33">
        <f t="shared" si="12"/>
        <v>224177.27875296277</v>
      </c>
    </row>
    <row r="135" spans="1:8" x14ac:dyDescent="0.15">
      <c r="A135" s="21">
        <v>119</v>
      </c>
      <c r="B135" s="33">
        <f t="shared" si="13"/>
        <v>224177.27875296277</v>
      </c>
      <c r="C135" s="33">
        <f t="shared" si="7"/>
        <v>1890.6754069781277</v>
      </c>
      <c r="D135" s="33">
        <f t="shared" si="8"/>
        <v>868.68695516773073</v>
      </c>
      <c r="E135" s="33">
        <f t="shared" si="9"/>
        <v>1021.988451810397</v>
      </c>
      <c r="F135" s="33">
        <f t="shared" si="10"/>
        <v>150</v>
      </c>
      <c r="G135" s="33">
        <f t="shared" si="11"/>
        <v>1171.988451810397</v>
      </c>
      <c r="H135" s="33">
        <f t="shared" si="12"/>
        <v>223005.29030115236</v>
      </c>
    </row>
    <row r="136" spans="1:8" x14ac:dyDescent="0.15">
      <c r="A136" s="21">
        <v>120</v>
      </c>
      <c r="B136" s="33">
        <f t="shared" si="13"/>
        <v>223005.29030115236</v>
      </c>
      <c r="C136" s="33">
        <f t="shared" si="7"/>
        <v>1890.6754069781277</v>
      </c>
      <c r="D136" s="33">
        <f t="shared" si="8"/>
        <v>864.14549991696538</v>
      </c>
      <c r="E136" s="33">
        <f t="shared" si="9"/>
        <v>1026.5299070611622</v>
      </c>
      <c r="F136" s="33">
        <f t="shared" si="10"/>
        <v>150</v>
      </c>
      <c r="G136" s="33">
        <f t="shared" si="11"/>
        <v>1176.5299070611622</v>
      </c>
      <c r="H136" s="33">
        <f t="shared" si="12"/>
        <v>221828.76039409119</v>
      </c>
    </row>
    <row r="137" spans="1:8" x14ac:dyDescent="0.15">
      <c r="A137" s="21">
        <v>121</v>
      </c>
      <c r="B137" s="33">
        <f t="shared" si="13"/>
        <v>221828.76039409119</v>
      </c>
      <c r="C137" s="33">
        <f t="shared" si="7"/>
        <v>1890.6754069781277</v>
      </c>
      <c r="D137" s="33">
        <f t="shared" si="8"/>
        <v>859.58644652710336</v>
      </c>
      <c r="E137" s="33">
        <f t="shared" si="9"/>
        <v>1031.0889604510244</v>
      </c>
      <c r="F137" s="33">
        <f t="shared" si="10"/>
        <v>150</v>
      </c>
      <c r="G137" s="33">
        <f t="shared" si="11"/>
        <v>1181.0889604510244</v>
      </c>
      <c r="H137" s="33">
        <f t="shared" si="12"/>
        <v>220647.67143364018</v>
      </c>
    </row>
    <row r="138" spans="1:8" x14ac:dyDescent="0.15">
      <c r="A138" s="21">
        <v>122</v>
      </c>
      <c r="B138" s="33">
        <f t="shared" si="13"/>
        <v>220647.67143364018</v>
      </c>
      <c r="C138" s="33">
        <f t="shared" si="7"/>
        <v>1890.6754069781277</v>
      </c>
      <c r="D138" s="33">
        <f t="shared" si="8"/>
        <v>855.00972680535574</v>
      </c>
      <c r="E138" s="33">
        <f t="shared" si="9"/>
        <v>1035.665680172772</v>
      </c>
      <c r="F138" s="33">
        <f t="shared" si="10"/>
        <v>150</v>
      </c>
      <c r="G138" s="33">
        <f t="shared" si="11"/>
        <v>1185.665680172772</v>
      </c>
      <c r="H138" s="33">
        <f t="shared" si="12"/>
        <v>219462.00575346741</v>
      </c>
    </row>
    <row r="139" spans="1:8" x14ac:dyDescent="0.15">
      <c r="A139" s="21">
        <v>123</v>
      </c>
      <c r="B139" s="33">
        <f t="shared" si="13"/>
        <v>219462.00575346741</v>
      </c>
      <c r="C139" s="33">
        <f t="shared" si="7"/>
        <v>1890.6754069781277</v>
      </c>
      <c r="D139" s="33">
        <f t="shared" si="8"/>
        <v>850.41527229468625</v>
      </c>
      <c r="E139" s="33">
        <f t="shared" si="9"/>
        <v>1040.2601346834415</v>
      </c>
      <c r="F139" s="33">
        <f t="shared" si="10"/>
        <v>150</v>
      </c>
      <c r="G139" s="33">
        <f t="shared" si="11"/>
        <v>1190.2601346834415</v>
      </c>
      <c r="H139" s="33">
        <f t="shared" si="12"/>
        <v>218271.74561878399</v>
      </c>
    </row>
    <row r="140" spans="1:8" x14ac:dyDescent="0.15">
      <c r="A140" s="21">
        <v>124</v>
      </c>
      <c r="B140" s="33">
        <f t="shared" si="13"/>
        <v>218271.74561878399</v>
      </c>
      <c r="C140" s="33">
        <f t="shared" si="7"/>
        <v>1890.6754069781277</v>
      </c>
      <c r="D140" s="33">
        <f t="shared" si="8"/>
        <v>845.80301427278789</v>
      </c>
      <c r="E140" s="33">
        <f t="shared" si="9"/>
        <v>1044.8723927053397</v>
      </c>
      <c r="F140" s="33">
        <f t="shared" si="10"/>
        <v>150</v>
      </c>
      <c r="G140" s="33">
        <f t="shared" si="11"/>
        <v>1194.8723927053397</v>
      </c>
      <c r="H140" s="33">
        <f t="shared" si="12"/>
        <v>217076.87322607863</v>
      </c>
    </row>
    <row r="141" spans="1:8" x14ac:dyDescent="0.15">
      <c r="A141" s="21">
        <v>125</v>
      </c>
      <c r="B141" s="33">
        <f t="shared" si="13"/>
        <v>217076.87322607863</v>
      </c>
      <c r="C141" s="33">
        <f t="shared" si="7"/>
        <v>1890.6754069781277</v>
      </c>
      <c r="D141" s="33">
        <f t="shared" si="8"/>
        <v>841.17288375105466</v>
      </c>
      <c r="E141" s="33">
        <f t="shared" si="9"/>
        <v>1049.5025232270732</v>
      </c>
      <c r="F141" s="33">
        <f t="shared" si="10"/>
        <v>150</v>
      </c>
      <c r="G141" s="33">
        <f t="shared" si="11"/>
        <v>1199.5025232270732</v>
      </c>
      <c r="H141" s="33">
        <f t="shared" si="12"/>
        <v>215877.37070285156</v>
      </c>
    </row>
    <row r="142" spans="1:8" x14ac:dyDescent="0.15">
      <c r="A142" s="21">
        <v>126</v>
      </c>
      <c r="B142" s="33">
        <f t="shared" si="13"/>
        <v>215877.37070285156</v>
      </c>
      <c r="C142" s="33">
        <f t="shared" si="7"/>
        <v>1890.6754069781277</v>
      </c>
      <c r="D142" s="33">
        <f t="shared" si="8"/>
        <v>836.52481147354979</v>
      </c>
      <c r="E142" s="33">
        <f t="shared" si="9"/>
        <v>1054.150595504578</v>
      </c>
      <c r="F142" s="33">
        <f t="shared" si="10"/>
        <v>150</v>
      </c>
      <c r="G142" s="33">
        <f t="shared" si="11"/>
        <v>1204.150595504578</v>
      </c>
      <c r="H142" s="33">
        <f t="shared" si="12"/>
        <v>214673.22010734698</v>
      </c>
    </row>
    <row r="143" spans="1:8" x14ac:dyDescent="0.15">
      <c r="A143" s="21">
        <v>127</v>
      </c>
      <c r="B143" s="33">
        <f t="shared" si="13"/>
        <v>214673.22010734698</v>
      </c>
      <c r="C143" s="33">
        <f t="shared" si="7"/>
        <v>1890.6754069781277</v>
      </c>
      <c r="D143" s="33">
        <f t="shared" si="8"/>
        <v>831.85872791596955</v>
      </c>
      <c r="E143" s="33">
        <f t="shared" si="9"/>
        <v>1058.8166790621581</v>
      </c>
      <c r="F143" s="33">
        <f t="shared" si="10"/>
        <v>150</v>
      </c>
      <c r="G143" s="33">
        <f t="shared" si="11"/>
        <v>1208.8166790621581</v>
      </c>
      <c r="H143" s="33">
        <f t="shared" si="12"/>
        <v>213464.40342828483</v>
      </c>
    </row>
    <row r="144" spans="1:8" x14ac:dyDescent="0.15">
      <c r="A144" s="21">
        <v>128</v>
      </c>
      <c r="B144" s="33">
        <f t="shared" si="13"/>
        <v>213464.40342828483</v>
      </c>
      <c r="C144" s="33">
        <f t="shared" si="7"/>
        <v>1890.6754069781277</v>
      </c>
      <c r="D144" s="33">
        <f t="shared" si="8"/>
        <v>827.17456328460366</v>
      </c>
      <c r="E144" s="33">
        <f t="shared" si="9"/>
        <v>1063.5008436935241</v>
      </c>
      <c r="F144" s="33">
        <f t="shared" si="10"/>
        <v>150</v>
      </c>
      <c r="G144" s="33">
        <f t="shared" si="11"/>
        <v>1213.5008436935241</v>
      </c>
      <c r="H144" s="33">
        <f t="shared" si="12"/>
        <v>212250.9025845913</v>
      </c>
    </row>
    <row r="145" spans="1:8" x14ac:dyDescent="0.15">
      <c r="A145" s="21">
        <v>129</v>
      </c>
      <c r="B145" s="33">
        <f t="shared" si="13"/>
        <v>212250.9025845913</v>
      </c>
      <c r="C145" s="33">
        <f t="shared" ref="C145:C208" si="14">$B$13</f>
        <v>1890.6754069781277</v>
      </c>
      <c r="D145" s="33">
        <f t="shared" ref="D145:D208" si="15">B145*$B$12</f>
        <v>822.47224751529131</v>
      </c>
      <c r="E145" s="33">
        <f t="shared" ref="E145:E208" si="16">C145-D145</f>
        <v>1068.2031594628365</v>
      </c>
      <c r="F145" s="33">
        <f t="shared" ref="F145:F208" si="17">IF(B145&gt;0,$B$10,0)</f>
        <v>150</v>
      </c>
      <c r="G145" s="33">
        <f t="shared" ref="G145:G208" si="18">MIN(B145,E145+F145)</f>
        <v>1218.2031594628365</v>
      </c>
      <c r="H145" s="33">
        <f t="shared" ref="H145:H208" si="19">MAX(0,B145-G145)</f>
        <v>211032.69942512846</v>
      </c>
    </row>
    <row r="146" spans="1:8" x14ac:dyDescent="0.15">
      <c r="A146" s="21">
        <v>130</v>
      </c>
      <c r="B146" s="33">
        <f t="shared" ref="B146:B209" si="20">H145</f>
        <v>211032.69942512846</v>
      </c>
      <c r="C146" s="33">
        <f t="shared" si="14"/>
        <v>1890.6754069781277</v>
      </c>
      <c r="D146" s="33">
        <f t="shared" si="15"/>
        <v>817.75171027237275</v>
      </c>
      <c r="E146" s="33">
        <f t="shared" si="16"/>
        <v>1072.923696705755</v>
      </c>
      <c r="F146" s="33">
        <f t="shared" si="17"/>
        <v>150</v>
      </c>
      <c r="G146" s="33">
        <f t="shared" si="18"/>
        <v>1222.923696705755</v>
      </c>
      <c r="H146" s="33">
        <f t="shared" si="19"/>
        <v>209809.77572842271</v>
      </c>
    </row>
    <row r="147" spans="1:8" x14ac:dyDescent="0.15">
      <c r="A147" s="21">
        <v>131</v>
      </c>
      <c r="B147" s="33">
        <f t="shared" si="20"/>
        <v>209809.77572842271</v>
      </c>
      <c r="C147" s="33">
        <f t="shared" si="14"/>
        <v>1890.6754069781277</v>
      </c>
      <c r="D147" s="33">
        <f t="shared" si="15"/>
        <v>813.012880947638</v>
      </c>
      <c r="E147" s="33">
        <f t="shared" si="16"/>
        <v>1077.6625260304897</v>
      </c>
      <c r="F147" s="33">
        <f t="shared" si="17"/>
        <v>150</v>
      </c>
      <c r="G147" s="33">
        <f t="shared" si="18"/>
        <v>1227.6625260304897</v>
      </c>
      <c r="H147" s="33">
        <f t="shared" si="19"/>
        <v>208582.11320239221</v>
      </c>
    </row>
    <row r="148" spans="1:8" x14ac:dyDescent="0.15">
      <c r="A148" s="21">
        <v>132</v>
      </c>
      <c r="B148" s="33">
        <f t="shared" si="20"/>
        <v>208582.11320239221</v>
      </c>
      <c r="C148" s="33">
        <f t="shared" si="14"/>
        <v>1890.6754069781277</v>
      </c>
      <c r="D148" s="33">
        <f t="shared" si="15"/>
        <v>808.25568865926982</v>
      </c>
      <c r="E148" s="33">
        <f t="shared" si="16"/>
        <v>1082.419718318858</v>
      </c>
      <c r="F148" s="33">
        <f t="shared" si="17"/>
        <v>150</v>
      </c>
      <c r="G148" s="33">
        <f t="shared" si="18"/>
        <v>1232.419718318858</v>
      </c>
      <c r="H148" s="33">
        <f t="shared" si="19"/>
        <v>207349.69348407336</v>
      </c>
    </row>
    <row r="149" spans="1:8" x14ac:dyDescent="0.15">
      <c r="A149" s="21">
        <v>133</v>
      </c>
      <c r="B149" s="33">
        <f t="shared" si="20"/>
        <v>207349.69348407336</v>
      </c>
      <c r="C149" s="33">
        <f t="shared" si="14"/>
        <v>1890.6754069781277</v>
      </c>
      <c r="D149" s="33">
        <f t="shared" si="15"/>
        <v>803.48006225078427</v>
      </c>
      <c r="E149" s="33">
        <f t="shared" si="16"/>
        <v>1087.1953447273436</v>
      </c>
      <c r="F149" s="33">
        <f t="shared" si="17"/>
        <v>150</v>
      </c>
      <c r="G149" s="33">
        <f t="shared" si="18"/>
        <v>1237.1953447273436</v>
      </c>
      <c r="H149" s="33">
        <f t="shared" si="19"/>
        <v>206112.49813934602</v>
      </c>
    </row>
    <row r="150" spans="1:8" x14ac:dyDescent="0.15">
      <c r="A150" s="21">
        <v>134</v>
      </c>
      <c r="B150" s="33">
        <f t="shared" si="20"/>
        <v>206112.49813934602</v>
      </c>
      <c r="C150" s="33">
        <f t="shared" si="14"/>
        <v>1890.6754069781277</v>
      </c>
      <c r="D150" s="33">
        <f t="shared" si="15"/>
        <v>798.68593028996577</v>
      </c>
      <c r="E150" s="33">
        <f t="shared" si="16"/>
        <v>1091.9894766881621</v>
      </c>
      <c r="F150" s="33">
        <f t="shared" si="17"/>
        <v>150</v>
      </c>
      <c r="G150" s="33">
        <f t="shared" si="18"/>
        <v>1241.9894766881621</v>
      </c>
      <c r="H150" s="33">
        <f t="shared" si="19"/>
        <v>204870.50866265787</v>
      </c>
    </row>
    <row r="151" spans="1:8" x14ac:dyDescent="0.15">
      <c r="A151" s="21">
        <v>135</v>
      </c>
      <c r="B151" s="33">
        <f t="shared" si="20"/>
        <v>204870.50866265787</v>
      </c>
      <c r="C151" s="33">
        <f t="shared" si="14"/>
        <v>1890.6754069781277</v>
      </c>
      <c r="D151" s="33">
        <f t="shared" si="15"/>
        <v>793.87322106779925</v>
      </c>
      <c r="E151" s="33">
        <f t="shared" si="16"/>
        <v>1096.8021859103285</v>
      </c>
      <c r="F151" s="33">
        <f t="shared" si="17"/>
        <v>150</v>
      </c>
      <c r="G151" s="33">
        <f t="shared" si="18"/>
        <v>1246.8021859103285</v>
      </c>
      <c r="H151" s="33">
        <f t="shared" si="19"/>
        <v>203623.70647674755</v>
      </c>
    </row>
    <row r="152" spans="1:8" x14ac:dyDescent="0.15">
      <c r="A152" s="21">
        <v>136</v>
      </c>
      <c r="B152" s="33">
        <f t="shared" si="20"/>
        <v>203623.70647674755</v>
      </c>
      <c r="C152" s="33">
        <f t="shared" si="14"/>
        <v>1890.6754069781277</v>
      </c>
      <c r="D152" s="33">
        <f t="shared" si="15"/>
        <v>789.04186259739674</v>
      </c>
      <c r="E152" s="33">
        <f t="shared" si="16"/>
        <v>1101.6335443807311</v>
      </c>
      <c r="F152" s="33">
        <f t="shared" si="17"/>
        <v>150</v>
      </c>
      <c r="G152" s="33">
        <f t="shared" si="18"/>
        <v>1251.6335443807311</v>
      </c>
      <c r="H152" s="33">
        <f t="shared" si="19"/>
        <v>202372.07293236683</v>
      </c>
    </row>
    <row r="153" spans="1:8" x14ac:dyDescent="0.15">
      <c r="A153" s="21">
        <v>137</v>
      </c>
      <c r="B153" s="33">
        <f t="shared" si="20"/>
        <v>202372.07293236683</v>
      </c>
      <c r="C153" s="33">
        <f t="shared" si="14"/>
        <v>1890.6754069781277</v>
      </c>
      <c r="D153" s="33">
        <f t="shared" si="15"/>
        <v>784.19178261292143</v>
      </c>
      <c r="E153" s="33">
        <f t="shared" si="16"/>
        <v>1106.4836243652062</v>
      </c>
      <c r="F153" s="33">
        <f t="shared" si="17"/>
        <v>150</v>
      </c>
      <c r="G153" s="33">
        <f t="shared" si="18"/>
        <v>1256.4836243652062</v>
      </c>
      <c r="H153" s="33">
        <f t="shared" si="19"/>
        <v>201115.58930800162</v>
      </c>
    </row>
    <row r="154" spans="1:8" x14ac:dyDescent="0.15">
      <c r="A154" s="21">
        <v>138</v>
      </c>
      <c r="B154" s="33">
        <f t="shared" si="20"/>
        <v>201115.58930800162</v>
      </c>
      <c r="C154" s="33">
        <f t="shared" si="14"/>
        <v>1890.6754069781277</v>
      </c>
      <c r="D154" s="33">
        <f t="shared" si="15"/>
        <v>779.32290856850625</v>
      </c>
      <c r="E154" s="33">
        <f t="shared" si="16"/>
        <v>1111.3524984096216</v>
      </c>
      <c r="F154" s="33">
        <f t="shared" si="17"/>
        <v>150</v>
      </c>
      <c r="G154" s="33">
        <f t="shared" si="18"/>
        <v>1261.3524984096216</v>
      </c>
      <c r="H154" s="33">
        <f t="shared" si="19"/>
        <v>199854.236809592</v>
      </c>
    </row>
    <row r="155" spans="1:8" x14ac:dyDescent="0.15">
      <c r="A155" s="21">
        <v>139</v>
      </c>
      <c r="B155" s="33">
        <f t="shared" si="20"/>
        <v>199854.236809592</v>
      </c>
      <c r="C155" s="33">
        <f t="shared" si="14"/>
        <v>1890.6754069781277</v>
      </c>
      <c r="D155" s="33">
        <f t="shared" si="15"/>
        <v>774.435167637169</v>
      </c>
      <c r="E155" s="33">
        <f t="shared" si="16"/>
        <v>1116.2402393409589</v>
      </c>
      <c r="F155" s="33">
        <f t="shared" si="17"/>
        <v>150</v>
      </c>
      <c r="G155" s="33">
        <f t="shared" si="18"/>
        <v>1266.2402393409589</v>
      </c>
      <c r="H155" s="33">
        <f t="shared" si="19"/>
        <v>198587.99657025104</v>
      </c>
    </row>
    <row r="156" spans="1:8" x14ac:dyDescent="0.15">
      <c r="A156" s="21">
        <v>140</v>
      </c>
      <c r="B156" s="33">
        <f t="shared" si="20"/>
        <v>198587.99657025104</v>
      </c>
      <c r="C156" s="33">
        <f t="shared" si="14"/>
        <v>1890.6754069781277</v>
      </c>
      <c r="D156" s="33">
        <f t="shared" si="15"/>
        <v>769.52848670972276</v>
      </c>
      <c r="E156" s="33">
        <f t="shared" si="16"/>
        <v>1121.146920268405</v>
      </c>
      <c r="F156" s="33">
        <f t="shared" si="17"/>
        <v>150</v>
      </c>
      <c r="G156" s="33">
        <f t="shared" si="18"/>
        <v>1271.146920268405</v>
      </c>
      <c r="H156" s="33">
        <f t="shared" si="19"/>
        <v>197316.84964998264</v>
      </c>
    </row>
    <row r="157" spans="1:8" x14ac:dyDescent="0.15">
      <c r="A157" s="21">
        <v>141</v>
      </c>
      <c r="B157" s="33">
        <f t="shared" si="20"/>
        <v>197316.84964998264</v>
      </c>
      <c r="C157" s="33">
        <f t="shared" si="14"/>
        <v>1890.6754069781277</v>
      </c>
      <c r="D157" s="33">
        <f t="shared" si="15"/>
        <v>764.60279239368276</v>
      </c>
      <c r="E157" s="33">
        <f t="shared" si="16"/>
        <v>1126.0726145844451</v>
      </c>
      <c r="F157" s="33">
        <f t="shared" si="17"/>
        <v>150</v>
      </c>
      <c r="G157" s="33">
        <f t="shared" si="18"/>
        <v>1276.0726145844451</v>
      </c>
      <c r="H157" s="33">
        <f t="shared" si="19"/>
        <v>196040.77703539821</v>
      </c>
    </row>
    <row r="158" spans="1:8" x14ac:dyDescent="0.15">
      <c r="A158" s="21">
        <v>142</v>
      </c>
      <c r="B158" s="33">
        <f t="shared" si="20"/>
        <v>196040.77703539821</v>
      </c>
      <c r="C158" s="33">
        <f t="shared" si="14"/>
        <v>1890.6754069781277</v>
      </c>
      <c r="D158" s="33">
        <f t="shared" si="15"/>
        <v>759.658011012168</v>
      </c>
      <c r="E158" s="33">
        <f t="shared" si="16"/>
        <v>1131.0173959659596</v>
      </c>
      <c r="F158" s="33">
        <f t="shared" si="17"/>
        <v>150</v>
      </c>
      <c r="G158" s="33">
        <f t="shared" si="18"/>
        <v>1281.0173959659596</v>
      </c>
      <c r="H158" s="33">
        <f t="shared" si="19"/>
        <v>194759.75963943225</v>
      </c>
    </row>
    <row r="159" spans="1:8" x14ac:dyDescent="0.15">
      <c r="A159" s="21">
        <v>143</v>
      </c>
      <c r="B159" s="33">
        <f t="shared" si="20"/>
        <v>194759.75963943225</v>
      </c>
      <c r="C159" s="33">
        <f t="shared" si="14"/>
        <v>1890.6754069781277</v>
      </c>
      <c r="D159" s="33">
        <f t="shared" si="15"/>
        <v>754.69406860279992</v>
      </c>
      <c r="E159" s="33">
        <f t="shared" si="16"/>
        <v>1135.9813383753278</v>
      </c>
      <c r="F159" s="33">
        <f t="shared" si="17"/>
        <v>150</v>
      </c>
      <c r="G159" s="33">
        <f t="shared" si="18"/>
        <v>1285.9813383753278</v>
      </c>
      <c r="H159" s="33">
        <f t="shared" si="19"/>
        <v>193473.77830105691</v>
      </c>
    </row>
    <row r="160" spans="1:8" x14ac:dyDescent="0.15">
      <c r="A160" s="21">
        <v>144</v>
      </c>
      <c r="B160" s="33">
        <f t="shared" si="20"/>
        <v>193473.77830105691</v>
      </c>
      <c r="C160" s="33">
        <f t="shared" si="14"/>
        <v>1890.6754069781277</v>
      </c>
      <c r="D160" s="33">
        <f t="shared" si="15"/>
        <v>749.71089091659553</v>
      </c>
      <c r="E160" s="33">
        <f t="shared" si="16"/>
        <v>1140.9645160615323</v>
      </c>
      <c r="F160" s="33">
        <f t="shared" si="17"/>
        <v>150</v>
      </c>
      <c r="G160" s="33">
        <f t="shared" si="18"/>
        <v>1290.9645160615323</v>
      </c>
      <c r="H160" s="33">
        <f t="shared" si="19"/>
        <v>192182.81378499538</v>
      </c>
    </row>
    <row r="161" spans="1:8" x14ac:dyDescent="0.15">
      <c r="A161" s="21">
        <v>145</v>
      </c>
      <c r="B161" s="33">
        <f t="shared" si="20"/>
        <v>192182.81378499538</v>
      </c>
      <c r="C161" s="33">
        <f t="shared" si="14"/>
        <v>1890.6754069781277</v>
      </c>
      <c r="D161" s="33">
        <f t="shared" si="15"/>
        <v>744.7084034168571</v>
      </c>
      <c r="E161" s="33">
        <f t="shared" si="16"/>
        <v>1145.9670035612708</v>
      </c>
      <c r="F161" s="33">
        <f t="shared" si="17"/>
        <v>150</v>
      </c>
      <c r="G161" s="33">
        <f t="shared" si="18"/>
        <v>1295.9670035612708</v>
      </c>
      <c r="H161" s="33">
        <f t="shared" si="19"/>
        <v>190886.84678143411</v>
      </c>
    </row>
    <row r="162" spans="1:8" x14ac:dyDescent="0.15">
      <c r="A162" s="21">
        <v>146</v>
      </c>
      <c r="B162" s="33">
        <f t="shared" si="20"/>
        <v>190886.84678143411</v>
      </c>
      <c r="C162" s="33">
        <f t="shared" si="14"/>
        <v>1890.6754069781277</v>
      </c>
      <c r="D162" s="33">
        <f t="shared" si="15"/>
        <v>739.68653127805715</v>
      </c>
      <c r="E162" s="33">
        <f t="shared" si="16"/>
        <v>1150.9888757000706</v>
      </c>
      <c r="F162" s="33">
        <f t="shared" si="17"/>
        <v>150</v>
      </c>
      <c r="G162" s="33">
        <f t="shared" si="18"/>
        <v>1300.9888757000706</v>
      </c>
      <c r="H162" s="33">
        <f t="shared" si="19"/>
        <v>189585.85790573404</v>
      </c>
    </row>
    <row r="163" spans="1:8" x14ac:dyDescent="0.15">
      <c r="A163" s="21">
        <v>147</v>
      </c>
      <c r="B163" s="33">
        <f t="shared" si="20"/>
        <v>189585.85790573404</v>
      </c>
      <c r="C163" s="33">
        <f t="shared" si="14"/>
        <v>1890.6754069781277</v>
      </c>
      <c r="D163" s="33">
        <f t="shared" si="15"/>
        <v>734.64519938471938</v>
      </c>
      <c r="E163" s="33">
        <f t="shared" si="16"/>
        <v>1156.0302075934082</v>
      </c>
      <c r="F163" s="33">
        <f t="shared" si="17"/>
        <v>150</v>
      </c>
      <c r="G163" s="33">
        <f t="shared" si="18"/>
        <v>1306.0302075934082</v>
      </c>
      <c r="H163" s="33">
        <f t="shared" si="19"/>
        <v>188279.82769814064</v>
      </c>
    </row>
    <row r="164" spans="1:8" x14ac:dyDescent="0.15">
      <c r="A164" s="21">
        <v>148</v>
      </c>
      <c r="B164" s="33">
        <f t="shared" si="20"/>
        <v>188279.82769814064</v>
      </c>
      <c r="C164" s="33">
        <f t="shared" si="14"/>
        <v>1890.6754069781277</v>
      </c>
      <c r="D164" s="33">
        <f t="shared" si="15"/>
        <v>729.58433233029496</v>
      </c>
      <c r="E164" s="33">
        <f t="shared" si="16"/>
        <v>1161.0910746478328</v>
      </c>
      <c r="F164" s="33">
        <f t="shared" si="17"/>
        <v>150</v>
      </c>
      <c r="G164" s="33">
        <f t="shared" si="18"/>
        <v>1311.0910746478328</v>
      </c>
      <c r="H164" s="33">
        <f t="shared" si="19"/>
        <v>186968.73662349282</v>
      </c>
    </row>
    <row r="165" spans="1:8" x14ac:dyDescent="0.15">
      <c r="A165" s="21">
        <v>149</v>
      </c>
      <c r="B165" s="33">
        <f t="shared" si="20"/>
        <v>186968.73662349282</v>
      </c>
      <c r="C165" s="33">
        <f t="shared" si="14"/>
        <v>1890.6754069781277</v>
      </c>
      <c r="D165" s="33">
        <f t="shared" si="15"/>
        <v>724.50385441603464</v>
      </c>
      <c r="E165" s="33">
        <f t="shared" si="16"/>
        <v>1166.171552562093</v>
      </c>
      <c r="F165" s="33">
        <f t="shared" si="17"/>
        <v>150</v>
      </c>
      <c r="G165" s="33">
        <f t="shared" si="18"/>
        <v>1316.171552562093</v>
      </c>
      <c r="H165" s="33">
        <f t="shared" si="19"/>
        <v>185652.56507093072</v>
      </c>
    </row>
    <row r="166" spans="1:8" x14ac:dyDescent="0.15">
      <c r="A166" s="21">
        <v>150</v>
      </c>
      <c r="B166" s="33">
        <f t="shared" si="20"/>
        <v>185652.56507093072</v>
      </c>
      <c r="C166" s="33">
        <f t="shared" si="14"/>
        <v>1890.6754069781277</v>
      </c>
      <c r="D166" s="33">
        <f t="shared" si="15"/>
        <v>719.40368964985657</v>
      </c>
      <c r="E166" s="33">
        <f t="shared" si="16"/>
        <v>1171.2717173282713</v>
      </c>
      <c r="F166" s="33">
        <f t="shared" si="17"/>
        <v>150</v>
      </c>
      <c r="G166" s="33">
        <f t="shared" si="18"/>
        <v>1321.2717173282713</v>
      </c>
      <c r="H166" s="33">
        <f t="shared" si="19"/>
        <v>184331.29335360246</v>
      </c>
    </row>
    <row r="167" spans="1:8" x14ac:dyDescent="0.15">
      <c r="A167" s="21">
        <v>151</v>
      </c>
      <c r="B167" s="33">
        <f t="shared" si="20"/>
        <v>184331.29335360246</v>
      </c>
      <c r="C167" s="33">
        <f t="shared" si="14"/>
        <v>1890.6754069781277</v>
      </c>
      <c r="D167" s="33">
        <f t="shared" si="15"/>
        <v>714.28376174520952</v>
      </c>
      <c r="E167" s="33">
        <f t="shared" si="16"/>
        <v>1176.3916452329181</v>
      </c>
      <c r="F167" s="33">
        <f t="shared" si="17"/>
        <v>150</v>
      </c>
      <c r="G167" s="33">
        <f t="shared" si="18"/>
        <v>1326.3916452329181</v>
      </c>
      <c r="H167" s="33">
        <f t="shared" si="19"/>
        <v>183004.90170836955</v>
      </c>
    </row>
    <row r="168" spans="1:8" x14ac:dyDescent="0.15">
      <c r="A168" s="21">
        <v>152</v>
      </c>
      <c r="B168" s="33">
        <f t="shared" si="20"/>
        <v>183004.90170836955</v>
      </c>
      <c r="C168" s="33">
        <f t="shared" si="14"/>
        <v>1890.6754069781277</v>
      </c>
      <c r="D168" s="33">
        <f t="shared" si="15"/>
        <v>709.14399411993202</v>
      </c>
      <c r="E168" s="33">
        <f t="shared" si="16"/>
        <v>1181.5314128581958</v>
      </c>
      <c r="F168" s="33">
        <f t="shared" si="17"/>
        <v>150</v>
      </c>
      <c r="G168" s="33">
        <f t="shared" si="18"/>
        <v>1331.5314128581958</v>
      </c>
      <c r="H168" s="33">
        <f t="shared" si="19"/>
        <v>181673.37029551135</v>
      </c>
    </row>
    <row r="169" spans="1:8" x14ac:dyDescent="0.15">
      <c r="A169" s="21">
        <v>153</v>
      </c>
      <c r="B169" s="33">
        <f t="shared" si="20"/>
        <v>181673.37029551135</v>
      </c>
      <c r="C169" s="33">
        <f t="shared" si="14"/>
        <v>1890.6754069781277</v>
      </c>
      <c r="D169" s="33">
        <f t="shared" si="15"/>
        <v>703.98430989510655</v>
      </c>
      <c r="E169" s="33">
        <f t="shared" si="16"/>
        <v>1186.6910970830213</v>
      </c>
      <c r="F169" s="33">
        <f t="shared" si="17"/>
        <v>150</v>
      </c>
      <c r="G169" s="33">
        <f t="shared" si="18"/>
        <v>1336.6910970830213</v>
      </c>
      <c r="H169" s="33">
        <f t="shared" si="19"/>
        <v>180336.67919842835</v>
      </c>
    </row>
    <row r="170" spans="1:8" x14ac:dyDescent="0.15">
      <c r="A170" s="21">
        <v>154</v>
      </c>
      <c r="B170" s="33">
        <f t="shared" si="20"/>
        <v>180336.67919842835</v>
      </c>
      <c r="C170" s="33">
        <f t="shared" si="14"/>
        <v>1890.6754069781277</v>
      </c>
      <c r="D170" s="33">
        <f t="shared" si="15"/>
        <v>698.8046318939098</v>
      </c>
      <c r="E170" s="33">
        <f t="shared" si="16"/>
        <v>1191.8707750842179</v>
      </c>
      <c r="F170" s="33">
        <f t="shared" si="17"/>
        <v>150</v>
      </c>
      <c r="G170" s="33">
        <f t="shared" si="18"/>
        <v>1341.8707750842179</v>
      </c>
      <c r="H170" s="33">
        <f t="shared" si="19"/>
        <v>178994.80842334413</v>
      </c>
    </row>
    <row r="171" spans="1:8" x14ac:dyDescent="0.15">
      <c r="A171" s="21">
        <v>155</v>
      </c>
      <c r="B171" s="33">
        <f t="shared" si="20"/>
        <v>178994.80842334413</v>
      </c>
      <c r="C171" s="33">
        <f t="shared" si="14"/>
        <v>1890.6754069781277</v>
      </c>
      <c r="D171" s="33">
        <f t="shared" si="15"/>
        <v>693.60488264045853</v>
      </c>
      <c r="E171" s="33">
        <f t="shared" si="16"/>
        <v>1197.0705243376692</v>
      </c>
      <c r="F171" s="33">
        <f t="shared" si="17"/>
        <v>150</v>
      </c>
      <c r="G171" s="33">
        <f t="shared" si="18"/>
        <v>1347.0705243376692</v>
      </c>
      <c r="H171" s="33">
        <f t="shared" si="19"/>
        <v>177647.73789900646</v>
      </c>
    </row>
    <row r="172" spans="1:8" x14ac:dyDescent="0.15">
      <c r="A172" s="21">
        <v>156</v>
      </c>
      <c r="B172" s="33">
        <f t="shared" si="20"/>
        <v>177647.73789900646</v>
      </c>
      <c r="C172" s="33">
        <f t="shared" si="14"/>
        <v>1890.6754069781277</v>
      </c>
      <c r="D172" s="33">
        <f t="shared" si="15"/>
        <v>688.38498435865006</v>
      </c>
      <c r="E172" s="33">
        <f t="shared" si="16"/>
        <v>1202.2904226194778</v>
      </c>
      <c r="F172" s="33">
        <f t="shared" si="17"/>
        <v>150</v>
      </c>
      <c r="G172" s="33">
        <f t="shared" si="18"/>
        <v>1352.2904226194778</v>
      </c>
      <c r="H172" s="33">
        <f t="shared" si="19"/>
        <v>176295.44747638699</v>
      </c>
    </row>
    <row r="173" spans="1:8" x14ac:dyDescent="0.15">
      <c r="A173" s="21">
        <v>157</v>
      </c>
      <c r="B173" s="33">
        <f t="shared" si="20"/>
        <v>176295.44747638699</v>
      </c>
      <c r="C173" s="33">
        <f t="shared" si="14"/>
        <v>1890.6754069781277</v>
      </c>
      <c r="D173" s="33">
        <f t="shared" si="15"/>
        <v>683.14485897099962</v>
      </c>
      <c r="E173" s="33">
        <f t="shared" si="16"/>
        <v>1207.5305480071281</v>
      </c>
      <c r="F173" s="33">
        <f t="shared" si="17"/>
        <v>150</v>
      </c>
      <c r="G173" s="33">
        <f t="shared" si="18"/>
        <v>1357.5305480071281</v>
      </c>
      <c r="H173" s="33">
        <f t="shared" si="19"/>
        <v>174937.91692837985</v>
      </c>
    </row>
    <row r="174" spans="1:8" x14ac:dyDescent="0.15">
      <c r="A174" s="21">
        <v>158</v>
      </c>
      <c r="B174" s="33">
        <f t="shared" si="20"/>
        <v>174937.91692837985</v>
      </c>
      <c r="C174" s="33">
        <f t="shared" si="14"/>
        <v>1890.6754069781277</v>
      </c>
      <c r="D174" s="33">
        <f t="shared" si="15"/>
        <v>677.88442809747198</v>
      </c>
      <c r="E174" s="33">
        <f t="shared" si="16"/>
        <v>1212.7909788806558</v>
      </c>
      <c r="F174" s="33">
        <f t="shared" si="17"/>
        <v>150</v>
      </c>
      <c r="G174" s="33">
        <f t="shared" si="18"/>
        <v>1362.7909788806558</v>
      </c>
      <c r="H174" s="33">
        <f t="shared" si="19"/>
        <v>173575.1259494992</v>
      </c>
    </row>
    <row r="175" spans="1:8" x14ac:dyDescent="0.15">
      <c r="A175" s="21">
        <v>159</v>
      </c>
      <c r="B175" s="33">
        <f t="shared" si="20"/>
        <v>173575.1259494992</v>
      </c>
      <c r="C175" s="33">
        <f t="shared" si="14"/>
        <v>1890.6754069781277</v>
      </c>
      <c r="D175" s="33">
        <f t="shared" si="15"/>
        <v>672.60361305430933</v>
      </c>
      <c r="E175" s="33">
        <f t="shared" si="16"/>
        <v>1218.0717939238184</v>
      </c>
      <c r="F175" s="33">
        <f t="shared" si="17"/>
        <v>150</v>
      </c>
      <c r="G175" s="33">
        <f t="shared" si="18"/>
        <v>1368.0717939238184</v>
      </c>
      <c r="H175" s="33">
        <f t="shared" si="19"/>
        <v>172207.05415557537</v>
      </c>
    </row>
    <row r="176" spans="1:8" x14ac:dyDescent="0.15">
      <c r="A176" s="21">
        <v>160</v>
      </c>
      <c r="B176" s="33">
        <f t="shared" si="20"/>
        <v>172207.05415557537</v>
      </c>
      <c r="C176" s="33">
        <f t="shared" si="14"/>
        <v>1890.6754069781277</v>
      </c>
      <c r="D176" s="33">
        <f t="shared" si="15"/>
        <v>667.30233485285453</v>
      </c>
      <c r="E176" s="33">
        <f t="shared" si="16"/>
        <v>1223.3730721252732</v>
      </c>
      <c r="F176" s="33">
        <f t="shared" si="17"/>
        <v>150</v>
      </c>
      <c r="G176" s="33">
        <f t="shared" si="18"/>
        <v>1373.3730721252732</v>
      </c>
      <c r="H176" s="33">
        <f t="shared" si="19"/>
        <v>170833.68108345009</v>
      </c>
    </row>
    <row r="177" spans="1:8" x14ac:dyDescent="0.15">
      <c r="A177" s="21">
        <v>161</v>
      </c>
      <c r="B177" s="33">
        <f t="shared" si="20"/>
        <v>170833.68108345009</v>
      </c>
      <c r="C177" s="33">
        <f t="shared" si="14"/>
        <v>1890.6754069781277</v>
      </c>
      <c r="D177" s="33">
        <f t="shared" si="15"/>
        <v>661.98051419836906</v>
      </c>
      <c r="E177" s="33">
        <f t="shared" si="16"/>
        <v>1228.6948927797587</v>
      </c>
      <c r="F177" s="33">
        <f t="shared" si="17"/>
        <v>150</v>
      </c>
      <c r="G177" s="33">
        <f t="shared" si="18"/>
        <v>1378.6948927797587</v>
      </c>
      <c r="H177" s="33">
        <f t="shared" si="19"/>
        <v>169454.98619067034</v>
      </c>
    </row>
    <row r="178" spans="1:8" x14ac:dyDescent="0.15">
      <c r="A178" s="21">
        <v>162</v>
      </c>
      <c r="B178" s="33">
        <f t="shared" si="20"/>
        <v>169454.98619067034</v>
      </c>
      <c r="C178" s="33">
        <f t="shared" si="14"/>
        <v>1890.6754069781277</v>
      </c>
      <c r="D178" s="33">
        <f t="shared" si="15"/>
        <v>656.63807148884757</v>
      </c>
      <c r="E178" s="33">
        <f t="shared" si="16"/>
        <v>1234.0373354892802</v>
      </c>
      <c r="F178" s="33">
        <f t="shared" si="17"/>
        <v>150</v>
      </c>
      <c r="G178" s="33">
        <f t="shared" si="18"/>
        <v>1384.0373354892802</v>
      </c>
      <c r="H178" s="33">
        <f t="shared" si="19"/>
        <v>168070.94885518105</v>
      </c>
    </row>
    <row r="179" spans="1:8" x14ac:dyDescent="0.15">
      <c r="A179" s="21">
        <v>163</v>
      </c>
      <c r="B179" s="33">
        <f t="shared" si="20"/>
        <v>168070.94885518105</v>
      </c>
      <c r="C179" s="33">
        <f t="shared" si="14"/>
        <v>1890.6754069781277</v>
      </c>
      <c r="D179" s="33">
        <f t="shared" si="15"/>
        <v>651.2749268138266</v>
      </c>
      <c r="E179" s="33">
        <f t="shared" si="16"/>
        <v>1239.4004801643011</v>
      </c>
      <c r="F179" s="33">
        <f t="shared" si="17"/>
        <v>150</v>
      </c>
      <c r="G179" s="33">
        <f t="shared" si="18"/>
        <v>1389.4004801643011</v>
      </c>
      <c r="H179" s="33">
        <f t="shared" si="19"/>
        <v>166681.54837501675</v>
      </c>
    </row>
    <row r="180" spans="1:8" x14ac:dyDescent="0.15">
      <c r="A180" s="21">
        <v>164</v>
      </c>
      <c r="B180" s="33">
        <f t="shared" si="20"/>
        <v>166681.54837501675</v>
      </c>
      <c r="C180" s="33">
        <f t="shared" si="14"/>
        <v>1890.6754069781277</v>
      </c>
      <c r="D180" s="33">
        <f t="shared" si="15"/>
        <v>645.89099995318986</v>
      </c>
      <c r="E180" s="33">
        <f t="shared" si="16"/>
        <v>1244.784407024938</v>
      </c>
      <c r="F180" s="33">
        <f t="shared" si="17"/>
        <v>150</v>
      </c>
      <c r="G180" s="33">
        <f t="shared" si="18"/>
        <v>1394.784407024938</v>
      </c>
      <c r="H180" s="33">
        <f t="shared" si="19"/>
        <v>165286.76396799181</v>
      </c>
    </row>
    <row r="181" spans="1:8" x14ac:dyDescent="0.15">
      <c r="A181" s="21">
        <v>165</v>
      </c>
      <c r="B181" s="33">
        <f t="shared" si="20"/>
        <v>165286.76396799181</v>
      </c>
      <c r="C181" s="33">
        <f t="shared" si="14"/>
        <v>1890.6754069781277</v>
      </c>
      <c r="D181" s="33">
        <f t="shared" si="15"/>
        <v>640.4862103759682</v>
      </c>
      <c r="E181" s="33">
        <f t="shared" si="16"/>
        <v>1250.1891966021594</v>
      </c>
      <c r="F181" s="33">
        <f t="shared" si="17"/>
        <v>150</v>
      </c>
      <c r="G181" s="33">
        <f t="shared" si="18"/>
        <v>1400.1891966021594</v>
      </c>
      <c r="H181" s="33">
        <f t="shared" si="19"/>
        <v>163886.57477138966</v>
      </c>
    </row>
    <row r="182" spans="1:8" x14ac:dyDescent="0.15">
      <c r="A182" s="21">
        <v>166</v>
      </c>
      <c r="B182" s="33">
        <f t="shared" si="20"/>
        <v>163886.57477138966</v>
      </c>
      <c r="C182" s="33">
        <f t="shared" si="14"/>
        <v>1890.6754069781277</v>
      </c>
      <c r="D182" s="33">
        <f t="shared" si="15"/>
        <v>635.06047723913491</v>
      </c>
      <c r="E182" s="33">
        <f t="shared" si="16"/>
        <v>1255.6149297389929</v>
      </c>
      <c r="F182" s="33">
        <f t="shared" si="17"/>
        <v>150</v>
      </c>
      <c r="G182" s="33">
        <f t="shared" si="18"/>
        <v>1405.6149297389929</v>
      </c>
      <c r="H182" s="33">
        <f t="shared" si="19"/>
        <v>162480.95984165068</v>
      </c>
    </row>
    <row r="183" spans="1:8" x14ac:dyDescent="0.15">
      <c r="A183" s="21">
        <v>167</v>
      </c>
      <c r="B183" s="33">
        <f t="shared" si="20"/>
        <v>162480.95984165068</v>
      </c>
      <c r="C183" s="33">
        <f t="shared" si="14"/>
        <v>1890.6754069781277</v>
      </c>
      <c r="D183" s="33">
        <f t="shared" si="15"/>
        <v>629.61371938639638</v>
      </c>
      <c r="E183" s="33">
        <f t="shared" si="16"/>
        <v>1261.0616875917312</v>
      </c>
      <c r="F183" s="33">
        <f t="shared" si="17"/>
        <v>150</v>
      </c>
      <c r="G183" s="33">
        <f t="shared" si="18"/>
        <v>1411.0616875917312</v>
      </c>
      <c r="H183" s="33">
        <f t="shared" si="19"/>
        <v>161069.89815405896</v>
      </c>
    </row>
    <row r="184" spans="1:8" x14ac:dyDescent="0.15">
      <c r="A184" s="21">
        <v>168</v>
      </c>
      <c r="B184" s="33">
        <f t="shared" si="20"/>
        <v>161069.89815405896</v>
      </c>
      <c r="C184" s="33">
        <f t="shared" si="14"/>
        <v>1890.6754069781277</v>
      </c>
      <c r="D184" s="33">
        <f t="shared" si="15"/>
        <v>624.14585534697846</v>
      </c>
      <c r="E184" s="33">
        <f t="shared" si="16"/>
        <v>1266.5295516311494</v>
      </c>
      <c r="F184" s="33">
        <f t="shared" si="17"/>
        <v>150</v>
      </c>
      <c r="G184" s="33">
        <f t="shared" si="18"/>
        <v>1416.5295516311494</v>
      </c>
      <c r="H184" s="33">
        <f t="shared" si="19"/>
        <v>159653.3686024278</v>
      </c>
    </row>
    <row r="185" spans="1:8" x14ac:dyDescent="0.15">
      <c r="A185" s="21">
        <v>169</v>
      </c>
      <c r="B185" s="33">
        <f t="shared" si="20"/>
        <v>159653.3686024278</v>
      </c>
      <c r="C185" s="33">
        <f t="shared" si="14"/>
        <v>1890.6754069781277</v>
      </c>
      <c r="D185" s="33">
        <f t="shared" si="15"/>
        <v>618.65680333440775</v>
      </c>
      <c r="E185" s="33">
        <f t="shared" si="16"/>
        <v>1272.0186036437199</v>
      </c>
      <c r="F185" s="33">
        <f t="shared" si="17"/>
        <v>150</v>
      </c>
      <c r="G185" s="33">
        <f t="shared" si="18"/>
        <v>1422.0186036437199</v>
      </c>
      <c r="H185" s="33">
        <f t="shared" si="19"/>
        <v>158231.34999878408</v>
      </c>
    </row>
    <row r="186" spans="1:8" x14ac:dyDescent="0.15">
      <c r="A186" s="21">
        <v>170</v>
      </c>
      <c r="B186" s="33">
        <f t="shared" si="20"/>
        <v>158231.34999878408</v>
      </c>
      <c r="C186" s="33">
        <f t="shared" si="14"/>
        <v>1890.6754069781277</v>
      </c>
      <c r="D186" s="33">
        <f t="shared" si="15"/>
        <v>613.14648124528833</v>
      </c>
      <c r="E186" s="33">
        <f t="shared" si="16"/>
        <v>1277.5289257328395</v>
      </c>
      <c r="F186" s="33">
        <f t="shared" si="17"/>
        <v>150</v>
      </c>
      <c r="G186" s="33">
        <f t="shared" si="18"/>
        <v>1427.5289257328395</v>
      </c>
      <c r="H186" s="33">
        <f t="shared" si="19"/>
        <v>156803.82107305125</v>
      </c>
    </row>
    <row r="187" spans="1:8" x14ac:dyDescent="0.15">
      <c r="A187" s="21">
        <v>171</v>
      </c>
      <c r="B187" s="33">
        <f t="shared" si="20"/>
        <v>156803.82107305125</v>
      </c>
      <c r="C187" s="33">
        <f t="shared" si="14"/>
        <v>1890.6754069781277</v>
      </c>
      <c r="D187" s="33">
        <f t="shared" si="15"/>
        <v>607.61480665807358</v>
      </c>
      <c r="E187" s="33">
        <f t="shared" si="16"/>
        <v>1283.0606003200542</v>
      </c>
      <c r="F187" s="33">
        <f t="shared" si="17"/>
        <v>150</v>
      </c>
      <c r="G187" s="33">
        <f t="shared" si="18"/>
        <v>1433.0606003200542</v>
      </c>
      <c r="H187" s="33">
        <f t="shared" si="19"/>
        <v>155370.7604727312</v>
      </c>
    </row>
    <row r="188" spans="1:8" x14ac:dyDescent="0.15">
      <c r="A188" s="21">
        <v>172</v>
      </c>
      <c r="B188" s="33">
        <f t="shared" si="20"/>
        <v>155370.7604727312</v>
      </c>
      <c r="C188" s="33">
        <f t="shared" si="14"/>
        <v>1890.6754069781277</v>
      </c>
      <c r="D188" s="33">
        <f t="shared" si="15"/>
        <v>602.06169683183339</v>
      </c>
      <c r="E188" s="33">
        <f t="shared" si="16"/>
        <v>1288.6137101462944</v>
      </c>
      <c r="F188" s="33">
        <f t="shared" si="17"/>
        <v>150</v>
      </c>
      <c r="G188" s="33">
        <f t="shared" si="18"/>
        <v>1438.6137101462944</v>
      </c>
      <c r="H188" s="33">
        <f t="shared" si="19"/>
        <v>153932.14676258492</v>
      </c>
    </row>
    <row r="189" spans="1:8" x14ac:dyDescent="0.15">
      <c r="A189" s="21">
        <v>173</v>
      </c>
      <c r="B189" s="33">
        <f t="shared" si="20"/>
        <v>153932.14676258492</v>
      </c>
      <c r="C189" s="33">
        <f t="shared" si="14"/>
        <v>1890.6754069781277</v>
      </c>
      <c r="D189" s="33">
        <f t="shared" si="15"/>
        <v>596.48706870501655</v>
      </c>
      <c r="E189" s="33">
        <f t="shared" si="16"/>
        <v>1294.1883382731112</v>
      </c>
      <c r="F189" s="33">
        <f t="shared" si="17"/>
        <v>150</v>
      </c>
      <c r="G189" s="33">
        <f t="shared" si="18"/>
        <v>1444.1883382731112</v>
      </c>
      <c r="H189" s="33">
        <f t="shared" si="19"/>
        <v>152487.9584243118</v>
      </c>
    </row>
    <row r="190" spans="1:8" x14ac:dyDescent="0.15">
      <c r="A190" s="21">
        <v>174</v>
      </c>
      <c r="B190" s="33">
        <f t="shared" si="20"/>
        <v>152487.9584243118</v>
      </c>
      <c r="C190" s="33">
        <f t="shared" si="14"/>
        <v>1890.6754069781277</v>
      </c>
      <c r="D190" s="33">
        <f t="shared" si="15"/>
        <v>590.89083889420817</v>
      </c>
      <c r="E190" s="33">
        <f t="shared" si="16"/>
        <v>1299.7845680839196</v>
      </c>
      <c r="F190" s="33">
        <f t="shared" si="17"/>
        <v>150</v>
      </c>
      <c r="G190" s="33">
        <f t="shared" si="18"/>
        <v>1449.7845680839196</v>
      </c>
      <c r="H190" s="33">
        <f t="shared" si="19"/>
        <v>151038.17385622789</v>
      </c>
    </row>
    <row r="191" spans="1:8" x14ac:dyDescent="0.15">
      <c r="A191" s="21">
        <v>175</v>
      </c>
      <c r="B191" s="33">
        <f t="shared" si="20"/>
        <v>151038.17385622789</v>
      </c>
      <c r="C191" s="33">
        <f t="shared" si="14"/>
        <v>1890.6754069781277</v>
      </c>
      <c r="D191" s="33">
        <f t="shared" si="15"/>
        <v>585.27292369288307</v>
      </c>
      <c r="E191" s="33">
        <f t="shared" si="16"/>
        <v>1305.4024832852447</v>
      </c>
      <c r="F191" s="33">
        <f t="shared" si="17"/>
        <v>150</v>
      </c>
      <c r="G191" s="33">
        <f t="shared" si="18"/>
        <v>1455.4024832852447</v>
      </c>
      <c r="H191" s="33">
        <f t="shared" si="19"/>
        <v>149582.77137294266</v>
      </c>
    </row>
    <row r="192" spans="1:8" x14ac:dyDescent="0.15">
      <c r="A192" s="21">
        <v>176</v>
      </c>
      <c r="B192" s="33">
        <f t="shared" si="20"/>
        <v>149582.77137294266</v>
      </c>
      <c r="C192" s="33">
        <f t="shared" si="14"/>
        <v>1890.6754069781277</v>
      </c>
      <c r="D192" s="33">
        <f t="shared" si="15"/>
        <v>579.63323907015285</v>
      </c>
      <c r="E192" s="33">
        <f t="shared" si="16"/>
        <v>1311.042167907975</v>
      </c>
      <c r="F192" s="33">
        <f t="shared" si="17"/>
        <v>150</v>
      </c>
      <c r="G192" s="33">
        <f t="shared" si="18"/>
        <v>1461.042167907975</v>
      </c>
      <c r="H192" s="33">
        <f t="shared" si="19"/>
        <v>148121.72920503467</v>
      </c>
    </row>
    <row r="193" spans="1:8" x14ac:dyDescent="0.15">
      <c r="A193" s="21">
        <v>177</v>
      </c>
      <c r="B193" s="33">
        <f t="shared" si="20"/>
        <v>148121.72920503467</v>
      </c>
      <c r="C193" s="33">
        <f t="shared" si="14"/>
        <v>1890.6754069781277</v>
      </c>
      <c r="D193" s="33">
        <f t="shared" si="15"/>
        <v>573.97170066950935</v>
      </c>
      <c r="E193" s="33">
        <f t="shared" si="16"/>
        <v>1316.7037063086184</v>
      </c>
      <c r="F193" s="33">
        <f t="shared" si="17"/>
        <v>150</v>
      </c>
      <c r="G193" s="33">
        <f t="shared" si="18"/>
        <v>1466.7037063086184</v>
      </c>
      <c r="H193" s="33">
        <f t="shared" si="19"/>
        <v>146655.02549872606</v>
      </c>
    </row>
    <row r="194" spans="1:8" x14ac:dyDescent="0.15">
      <c r="A194" s="21">
        <v>178</v>
      </c>
      <c r="B194" s="33">
        <f t="shared" si="20"/>
        <v>146655.02549872606</v>
      </c>
      <c r="C194" s="33">
        <f t="shared" si="14"/>
        <v>1890.6754069781277</v>
      </c>
      <c r="D194" s="33">
        <f t="shared" si="15"/>
        <v>568.28822380756344</v>
      </c>
      <c r="E194" s="33">
        <f t="shared" si="16"/>
        <v>1322.3871831705642</v>
      </c>
      <c r="F194" s="33">
        <f t="shared" si="17"/>
        <v>150</v>
      </c>
      <c r="G194" s="33">
        <f t="shared" si="18"/>
        <v>1472.3871831705642</v>
      </c>
      <c r="H194" s="33">
        <f t="shared" si="19"/>
        <v>145182.63831555549</v>
      </c>
    </row>
    <row r="195" spans="1:8" x14ac:dyDescent="0.15">
      <c r="A195" s="21">
        <v>179</v>
      </c>
      <c r="B195" s="33">
        <f t="shared" si="20"/>
        <v>145182.63831555549</v>
      </c>
      <c r="C195" s="33">
        <f t="shared" si="14"/>
        <v>1890.6754069781277</v>
      </c>
      <c r="D195" s="33">
        <f t="shared" si="15"/>
        <v>562.5827234727775</v>
      </c>
      <c r="E195" s="33">
        <f t="shared" si="16"/>
        <v>1328.0926835053501</v>
      </c>
      <c r="F195" s="33">
        <f t="shared" si="17"/>
        <v>150</v>
      </c>
      <c r="G195" s="33">
        <f t="shared" si="18"/>
        <v>1478.0926835053501</v>
      </c>
      <c r="H195" s="33">
        <f t="shared" si="19"/>
        <v>143704.54563205014</v>
      </c>
    </row>
    <row r="196" spans="1:8" x14ac:dyDescent="0.15">
      <c r="A196" s="21">
        <v>180</v>
      </c>
      <c r="B196" s="33">
        <f t="shared" si="20"/>
        <v>143704.54563205014</v>
      </c>
      <c r="C196" s="33">
        <f t="shared" si="14"/>
        <v>1890.6754069781277</v>
      </c>
      <c r="D196" s="33">
        <f t="shared" si="15"/>
        <v>556.85511432419423</v>
      </c>
      <c r="E196" s="33">
        <f t="shared" si="16"/>
        <v>1333.8202926539334</v>
      </c>
      <c r="F196" s="33">
        <f t="shared" si="17"/>
        <v>150</v>
      </c>
      <c r="G196" s="33">
        <f t="shared" si="18"/>
        <v>1483.8202926539334</v>
      </c>
      <c r="H196" s="33">
        <f t="shared" si="19"/>
        <v>142220.72533939622</v>
      </c>
    </row>
    <row r="197" spans="1:8" x14ac:dyDescent="0.15">
      <c r="A197" s="21">
        <v>181</v>
      </c>
      <c r="B197" s="33">
        <f t="shared" si="20"/>
        <v>142220.72533939622</v>
      </c>
      <c r="C197" s="33">
        <f t="shared" si="14"/>
        <v>1890.6754069781277</v>
      </c>
      <c r="D197" s="33">
        <f t="shared" si="15"/>
        <v>551.10531069016031</v>
      </c>
      <c r="E197" s="33">
        <f t="shared" si="16"/>
        <v>1339.5700962879673</v>
      </c>
      <c r="F197" s="33">
        <f t="shared" si="17"/>
        <v>150</v>
      </c>
      <c r="G197" s="33">
        <f t="shared" si="18"/>
        <v>1489.5700962879673</v>
      </c>
      <c r="H197" s="33">
        <f t="shared" si="19"/>
        <v>140731.15524310825</v>
      </c>
    </row>
    <row r="198" spans="1:8" x14ac:dyDescent="0.15">
      <c r="A198" s="21">
        <v>182</v>
      </c>
      <c r="B198" s="33">
        <f t="shared" si="20"/>
        <v>140731.15524310825</v>
      </c>
      <c r="C198" s="33">
        <f t="shared" si="14"/>
        <v>1890.6754069781277</v>
      </c>
      <c r="D198" s="33">
        <f t="shared" si="15"/>
        <v>545.33322656704445</v>
      </c>
      <c r="E198" s="33">
        <f t="shared" si="16"/>
        <v>1345.3421804110833</v>
      </c>
      <c r="F198" s="33">
        <f t="shared" si="17"/>
        <v>150</v>
      </c>
      <c r="G198" s="33">
        <f t="shared" si="18"/>
        <v>1495.3421804110833</v>
      </c>
      <c r="H198" s="33">
        <f t="shared" si="19"/>
        <v>139235.81306269718</v>
      </c>
    </row>
    <row r="199" spans="1:8" x14ac:dyDescent="0.15">
      <c r="A199" s="21">
        <v>183</v>
      </c>
      <c r="B199" s="33">
        <f t="shared" si="20"/>
        <v>139235.81306269718</v>
      </c>
      <c r="C199" s="33">
        <f t="shared" si="14"/>
        <v>1890.6754069781277</v>
      </c>
      <c r="D199" s="33">
        <f t="shared" si="15"/>
        <v>539.53877561795161</v>
      </c>
      <c r="E199" s="33">
        <f t="shared" si="16"/>
        <v>1351.1366313601761</v>
      </c>
      <c r="F199" s="33">
        <f t="shared" si="17"/>
        <v>150</v>
      </c>
      <c r="G199" s="33">
        <f t="shared" si="18"/>
        <v>1501.1366313601761</v>
      </c>
      <c r="H199" s="33">
        <f t="shared" si="19"/>
        <v>137734.67643133699</v>
      </c>
    </row>
    <row r="200" spans="1:8" x14ac:dyDescent="0.15">
      <c r="A200" s="21">
        <v>184</v>
      </c>
      <c r="B200" s="33">
        <f t="shared" si="20"/>
        <v>137734.67643133699</v>
      </c>
      <c r="C200" s="33">
        <f t="shared" si="14"/>
        <v>1890.6754069781277</v>
      </c>
      <c r="D200" s="33">
        <f t="shared" si="15"/>
        <v>533.72187117143085</v>
      </c>
      <c r="E200" s="33">
        <f t="shared" si="16"/>
        <v>1356.9535358066969</v>
      </c>
      <c r="F200" s="33">
        <f t="shared" si="17"/>
        <v>150</v>
      </c>
      <c r="G200" s="33">
        <f t="shared" si="18"/>
        <v>1506.9535358066969</v>
      </c>
      <c r="H200" s="33">
        <f t="shared" si="19"/>
        <v>136227.72289553029</v>
      </c>
    </row>
    <row r="201" spans="1:8" x14ac:dyDescent="0.15">
      <c r="A201" s="21">
        <v>185</v>
      </c>
      <c r="B201" s="33">
        <f t="shared" si="20"/>
        <v>136227.72289553029</v>
      </c>
      <c r="C201" s="33">
        <f t="shared" si="14"/>
        <v>1890.6754069781277</v>
      </c>
      <c r="D201" s="33">
        <f t="shared" si="15"/>
        <v>527.88242622017981</v>
      </c>
      <c r="E201" s="33">
        <f t="shared" si="16"/>
        <v>1362.792980757948</v>
      </c>
      <c r="F201" s="33">
        <f t="shared" si="17"/>
        <v>150</v>
      </c>
      <c r="G201" s="33">
        <f t="shared" si="18"/>
        <v>1512.792980757948</v>
      </c>
      <c r="H201" s="33">
        <f t="shared" si="19"/>
        <v>134714.92991477234</v>
      </c>
    </row>
    <row r="202" spans="1:8" x14ac:dyDescent="0.15">
      <c r="A202" s="21">
        <v>186</v>
      </c>
      <c r="B202" s="33">
        <f t="shared" si="20"/>
        <v>134714.92991477234</v>
      </c>
      <c r="C202" s="33">
        <f t="shared" si="14"/>
        <v>1890.6754069781277</v>
      </c>
      <c r="D202" s="33">
        <f t="shared" si="15"/>
        <v>522.02035341974283</v>
      </c>
      <c r="E202" s="33">
        <f t="shared" si="16"/>
        <v>1368.6550535583849</v>
      </c>
      <c r="F202" s="33">
        <f t="shared" si="17"/>
        <v>150</v>
      </c>
      <c r="G202" s="33">
        <f t="shared" si="18"/>
        <v>1518.6550535583849</v>
      </c>
      <c r="H202" s="33">
        <f t="shared" si="19"/>
        <v>133196.27486121395</v>
      </c>
    </row>
    <row r="203" spans="1:8" x14ac:dyDescent="0.15">
      <c r="A203" s="21">
        <v>187</v>
      </c>
      <c r="B203" s="33">
        <f t="shared" si="20"/>
        <v>133196.27486121395</v>
      </c>
      <c r="C203" s="33">
        <f t="shared" si="14"/>
        <v>1890.6754069781277</v>
      </c>
      <c r="D203" s="33">
        <f t="shared" si="15"/>
        <v>516.1355650872041</v>
      </c>
      <c r="E203" s="33">
        <f t="shared" si="16"/>
        <v>1374.5398418909235</v>
      </c>
      <c r="F203" s="33">
        <f t="shared" si="17"/>
        <v>150</v>
      </c>
      <c r="G203" s="33">
        <f t="shared" si="18"/>
        <v>1524.5398418909235</v>
      </c>
      <c r="H203" s="33">
        <f t="shared" si="19"/>
        <v>131671.73501932304</v>
      </c>
    </row>
    <row r="204" spans="1:8" x14ac:dyDescent="0.15">
      <c r="A204" s="21">
        <v>188</v>
      </c>
      <c r="B204" s="33">
        <f t="shared" si="20"/>
        <v>131671.73501932304</v>
      </c>
      <c r="C204" s="33">
        <f t="shared" si="14"/>
        <v>1890.6754069781277</v>
      </c>
      <c r="D204" s="33">
        <f t="shared" si="15"/>
        <v>510.22797319987677</v>
      </c>
      <c r="E204" s="33">
        <f t="shared" si="16"/>
        <v>1380.447433778251</v>
      </c>
      <c r="F204" s="33">
        <f t="shared" si="17"/>
        <v>150</v>
      </c>
      <c r="G204" s="33">
        <f t="shared" si="18"/>
        <v>1530.447433778251</v>
      </c>
      <c r="H204" s="33">
        <f t="shared" si="19"/>
        <v>130141.28758554479</v>
      </c>
    </row>
    <row r="205" spans="1:8" x14ac:dyDescent="0.15">
      <c r="A205" s="21">
        <v>189</v>
      </c>
      <c r="B205" s="33">
        <f t="shared" si="20"/>
        <v>130141.28758554479</v>
      </c>
      <c r="C205" s="33">
        <f t="shared" si="14"/>
        <v>1890.6754069781277</v>
      </c>
      <c r="D205" s="33">
        <f t="shared" si="15"/>
        <v>504.29748939398604</v>
      </c>
      <c r="E205" s="33">
        <f t="shared" si="16"/>
        <v>1386.3779175841416</v>
      </c>
      <c r="F205" s="33">
        <f t="shared" si="17"/>
        <v>150</v>
      </c>
      <c r="G205" s="33">
        <f t="shared" si="18"/>
        <v>1536.3779175841416</v>
      </c>
      <c r="H205" s="33">
        <f t="shared" si="19"/>
        <v>128604.90966796064</v>
      </c>
    </row>
    <row r="206" spans="1:8" x14ac:dyDescent="0.15">
      <c r="A206" s="21">
        <v>190</v>
      </c>
      <c r="B206" s="33">
        <f t="shared" si="20"/>
        <v>128604.90966796064</v>
      </c>
      <c r="C206" s="33">
        <f t="shared" si="14"/>
        <v>1890.6754069781277</v>
      </c>
      <c r="D206" s="33">
        <f t="shared" si="15"/>
        <v>498.34402496334752</v>
      </c>
      <c r="E206" s="33">
        <f t="shared" si="16"/>
        <v>1392.3313820147803</v>
      </c>
      <c r="F206" s="33">
        <f t="shared" si="17"/>
        <v>150</v>
      </c>
      <c r="G206" s="33">
        <f t="shared" si="18"/>
        <v>1542.3313820147803</v>
      </c>
      <c r="H206" s="33">
        <f t="shared" si="19"/>
        <v>127062.57828594587</v>
      </c>
    </row>
    <row r="207" spans="1:8" x14ac:dyDescent="0.15">
      <c r="A207" s="21">
        <v>191</v>
      </c>
      <c r="B207" s="33">
        <f t="shared" si="20"/>
        <v>127062.57828594587</v>
      </c>
      <c r="C207" s="33">
        <f t="shared" si="14"/>
        <v>1890.6754069781277</v>
      </c>
      <c r="D207" s="33">
        <f t="shared" si="15"/>
        <v>492.36749085804024</v>
      </c>
      <c r="E207" s="33">
        <f t="shared" si="16"/>
        <v>1398.3079161200876</v>
      </c>
      <c r="F207" s="33">
        <f t="shared" si="17"/>
        <v>150</v>
      </c>
      <c r="G207" s="33">
        <f t="shared" si="18"/>
        <v>1548.3079161200876</v>
      </c>
      <c r="H207" s="33">
        <f t="shared" si="19"/>
        <v>125514.27036982578</v>
      </c>
    </row>
    <row r="208" spans="1:8" x14ac:dyDescent="0.15">
      <c r="A208" s="21">
        <v>192</v>
      </c>
      <c r="B208" s="33">
        <f t="shared" si="20"/>
        <v>125514.27036982578</v>
      </c>
      <c r="C208" s="33">
        <f t="shared" si="14"/>
        <v>1890.6754069781277</v>
      </c>
      <c r="D208" s="33">
        <f t="shared" si="15"/>
        <v>486.36779768307491</v>
      </c>
      <c r="E208" s="33">
        <f t="shared" si="16"/>
        <v>1404.3076092950528</v>
      </c>
      <c r="F208" s="33">
        <f t="shared" si="17"/>
        <v>150</v>
      </c>
      <c r="G208" s="33">
        <f t="shared" si="18"/>
        <v>1554.3076092950528</v>
      </c>
      <c r="H208" s="33">
        <f t="shared" si="19"/>
        <v>123959.96276053073</v>
      </c>
    </row>
    <row r="209" spans="1:8" x14ac:dyDescent="0.15">
      <c r="A209" s="21">
        <v>193</v>
      </c>
      <c r="B209" s="33">
        <f t="shared" si="20"/>
        <v>123959.96276053073</v>
      </c>
      <c r="C209" s="33">
        <f t="shared" ref="C209:C272" si="21">$B$13</f>
        <v>1890.6754069781277</v>
      </c>
      <c r="D209" s="33">
        <f t="shared" ref="D209:D272" si="22">B209*$B$12</f>
        <v>480.34485569705657</v>
      </c>
      <c r="E209" s="33">
        <f t="shared" ref="E209:E272" si="23">C209-D209</f>
        <v>1410.3305512810712</v>
      </c>
      <c r="F209" s="33">
        <f t="shared" ref="F209:F272" si="24">IF(B209&gt;0,$B$10,0)</f>
        <v>150</v>
      </c>
      <c r="G209" s="33">
        <f t="shared" ref="G209:G272" si="25">MIN(B209,E209+F209)</f>
        <v>1560.3305512810712</v>
      </c>
      <c r="H209" s="33">
        <f t="shared" ref="H209:H272" si="26">MAX(0,B209-G209)</f>
        <v>122399.63220924966</v>
      </c>
    </row>
    <row r="210" spans="1:8" x14ac:dyDescent="0.15">
      <c r="A210" s="21">
        <v>194</v>
      </c>
      <c r="B210" s="33">
        <f t="shared" ref="B210:B273" si="27">H209</f>
        <v>122399.63220924966</v>
      </c>
      <c r="C210" s="33">
        <f t="shared" si="21"/>
        <v>1890.6754069781277</v>
      </c>
      <c r="D210" s="33">
        <f t="shared" si="22"/>
        <v>474.29857481084241</v>
      </c>
      <c r="E210" s="33">
        <f t="shared" si="23"/>
        <v>1416.3768321672853</v>
      </c>
      <c r="F210" s="33">
        <f t="shared" si="24"/>
        <v>150</v>
      </c>
      <c r="G210" s="33">
        <f t="shared" si="25"/>
        <v>1566.3768321672853</v>
      </c>
      <c r="H210" s="33">
        <f t="shared" si="26"/>
        <v>120833.25537708237</v>
      </c>
    </row>
    <row r="211" spans="1:8" x14ac:dyDescent="0.15">
      <c r="A211" s="21">
        <v>195</v>
      </c>
      <c r="B211" s="33">
        <f t="shared" si="27"/>
        <v>120833.25537708237</v>
      </c>
      <c r="C211" s="33">
        <f t="shared" si="21"/>
        <v>1890.6754069781277</v>
      </c>
      <c r="D211" s="33">
        <f t="shared" si="22"/>
        <v>468.22886458619416</v>
      </c>
      <c r="E211" s="33">
        <f t="shared" si="23"/>
        <v>1422.4465423919337</v>
      </c>
      <c r="F211" s="33">
        <f t="shared" si="24"/>
        <v>150</v>
      </c>
      <c r="G211" s="33">
        <f t="shared" si="25"/>
        <v>1572.4465423919337</v>
      </c>
      <c r="H211" s="33">
        <f t="shared" si="26"/>
        <v>119260.80883469044</v>
      </c>
    </row>
    <row r="212" spans="1:8" x14ac:dyDescent="0.15">
      <c r="A212" s="21">
        <v>196</v>
      </c>
      <c r="B212" s="33">
        <f t="shared" si="27"/>
        <v>119260.80883469044</v>
      </c>
      <c r="C212" s="33">
        <f t="shared" si="21"/>
        <v>1890.6754069781277</v>
      </c>
      <c r="D212" s="33">
        <f t="shared" si="22"/>
        <v>462.13563423442548</v>
      </c>
      <c r="E212" s="33">
        <f t="shared" si="23"/>
        <v>1428.5397727437023</v>
      </c>
      <c r="F212" s="33">
        <f t="shared" si="24"/>
        <v>150</v>
      </c>
      <c r="G212" s="33">
        <f t="shared" si="25"/>
        <v>1578.5397727437023</v>
      </c>
      <c r="H212" s="33">
        <f t="shared" si="26"/>
        <v>117682.26906194673</v>
      </c>
    </row>
    <row r="213" spans="1:8" x14ac:dyDescent="0.15">
      <c r="A213" s="21">
        <v>197</v>
      </c>
      <c r="B213" s="33">
        <f t="shared" si="27"/>
        <v>117682.26906194673</v>
      </c>
      <c r="C213" s="33">
        <f t="shared" si="21"/>
        <v>1890.6754069781277</v>
      </c>
      <c r="D213" s="33">
        <f t="shared" si="22"/>
        <v>456.01879261504359</v>
      </c>
      <c r="E213" s="33">
        <f t="shared" si="23"/>
        <v>1434.6566143630841</v>
      </c>
      <c r="F213" s="33">
        <f t="shared" si="24"/>
        <v>150</v>
      </c>
      <c r="G213" s="33">
        <f t="shared" si="25"/>
        <v>1584.6566143630841</v>
      </c>
      <c r="H213" s="33">
        <f t="shared" si="26"/>
        <v>116097.61244758366</v>
      </c>
    </row>
    <row r="214" spans="1:8" x14ac:dyDescent="0.15">
      <c r="A214" s="21">
        <v>198</v>
      </c>
      <c r="B214" s="33">
        <f t="shared" si="27"/>
        <v>116097.61244758366</v>
      </c>
      <c r="C214" s="33">
        <f t="shared" si="21"/>
        <v>1890.6754069781277</v>
      </c>
      <c r="D214" s="33">
        <f t="shared" si="22"/>
        <v>449.87824823438666</v>
      </c>
      <c r="E214" s="33">
        <f t="shared" si="23"/>
        <v>1440.797158743741</v>
      </c>
      <c r="F214" s="33">
        <f t="shared" si="24"/>
        <v>150</v>
      </c>
      <c r="G214" s="33">
        <f t="shared" si="25"/>
        <v>1590.797158743741</v>
      </c>
      <c r="H214" s="33">
        <f t="shared" si="26"/>
        <v>114506.81528883992</v>
      </c>
    </row>
    <row r="215" spans="1:8" x14ac:dyDescent="0.15">
      <c r="A215" s="21">
        <v>199</v>
      </c>
      <c r="B215" s="33">
        <f t="shared" si="27"/>
        <v>114506.81528883992</v>
      </c>
      <c r="C215" s="33">
        <f t="shared" si="21"/>
        <v>1890.6754069781277</v>
      </c>
      <c r="D215" s="33">
        <f t="shared" si="22"/>
        <v>443.71390924425469</v>
      </c>
      <c r="E215" s="33">
        <f t="shared" si="23"/>
        <v>1446.9614977338731</v>
      </c>
      <c r="F215" s="33">
        <f t="shared" si="24"/>
        <v>150</v>
      </c>
      <c r="G215" s="33">
        <f t="shared" si="25"/>
        <v>1596.9614977338731</v>
      </c>
      <c r="H215" s="33">
        <f t="shared" si="26"/>
        <v>112909.85379110604</v>
      </c>
    </row>
    <row r="216" spans="1:8" x14ac:dyDescent="0.15">
      <c r="A216" s="21">
        <v>200</v>
      </c>
      <c r="B216" s="33">
        <f t="shared" si="27"/>
        <v>112909.85379110604</v>
      </c>
      <c r="C216" s="33">
        <f t="shared" si="21"/>
        <v>1890.6754069781277</v>
      </c>
      <c r="D216" s="33">
        <f t="shared" si="22"/>
        <v>437.52568344053589</v>
      </c>
      <c r="E216" s="33">
        <f t="shared" si="23"/>
        <v>1453.1497235375919</v>
      </c>
      <c r="F216" s="33">
        <f t="shared" si="24"/>
        <v>150</v>
      </c>
      <c r="G216" s="33">
        <f t="shared" si="25"/>
        <v>1603.1497235375919</v>
      </c>
      <c r="H216" s="33">
        <f t="shared" si="26"/>
        <v>111306.70406756845</v>
      </c>
    </row>
    <row r="217" spans="1:8" x14ac:dyDescent="0.15">
      <c r="A217" s="21">
        <v>201</v>
      </c>
      <c r="B217" s="33">
        <f t="shared" si="27"/>
        <v>111306.70406756845</v>
      </c>
      <c r="C217" s="33">
        <f t="shared" si="21"/>
        <v>1890.6754069781277</v>
      </c>
      <c r="D217" s="33">
        <f t="shared" si="22"/>
        <v>431.31347826182775</v>
      </c>
      <c r="E217" s="33">
        <f t="shared" si="23"/>
        <v>1459.3619287163001</v>
      </c>
      <c r="F217" s="33">
        <f t="shared" si="24"/>
        <v>150</v>
      </c>
      <c r="G217" s="33">
        <f t="shared" si="25"/>
        <v>1609.3619287163001</v>
      </c>
      <c r="H217" s="33">
        <f t="shared" si="26"/>
        <v>109697.34213885215</v>
      </c>
    </row>
    <row r="218" spans="1:8" x14ac:dyDescent="0.15">
      <c r="A218" s="21">
        <v>202</v>
      </c>
      <c r="B218" s="33">
        <f t="shared" si="27"/>
        <v>109697.34213885215</v>
      </c>
      <c r="C218" s="33">
        <f t="shared" si="21"/>
        <v>1890.6754069781277</v>
      </c>
      <c r="D218" s="33">
        <f t="shared" si="22"/>
        <v>425.0772007880521</v>
      </c>
      <c r="E218" s="33">
        <f t="shared" si="23"/>
        <v>1465.5982061900756</v>
      </c>
      <c r="F218" s="33">
        <f t="shared" si="24"/>
        <v>150</v>
      </c>
      <c r="G218" s="33">
        <f t="shared" si="25"/>
        <v>1615.5982061900756</v>
      </c>
      <c r="H218" s="33">
        <f t="shared" si="26"/>
        <v>108081.74393266208</v>
      </c>
    </row>
    <row r="219" spans="1:8" x14ac:dyDescent="0.15">
      <c r="A219" s="21">
        <v>203</v>
      </c>
      <c r="B219" s="33">
        <f t="shared" si="27"/>
        <v>108081.74393266208</v>
      </c>
      <c r="C219" s="33">
        <f t="shared" si="21"/>
        <v>1890.6754069781277</v>
      </c>
      <c r="D219" s="33">
        <f t="shared" si="22"/>
        <v>418.81675773906557</v>
      </c>
      <c r="E219" s="33">
        <f t="shared" si="23"/>
        <v>1471.8586492390623</v>
      </c>
      <c r="F219" s="33">
        <f t="shared" si="24"/>
        <v>150</v>
      </c>
      <c r="G219" s="33">
        <f t="shared" si="25"/>
        <v>1621.8586492390623</v>
      </c>
      <c r="H219" s="33">
        <f t="shared" si="26"/>
        <v>106459.88528342302</v>
      </c>
    </row>
    <row r="220" spans="1:8" x14ac:dyDescent="0.15">
      <c r="A220" s="21">
        <v>204</v>
      </c>
      <c r="B220" s="33">
        <f t="shared" si="27"/>
        <v>106459.88528342302</v>
      </c>
      <c r="C220" s="33">
        <f t="shared" si="21"/>
        <v>1890.6754069781277</v>
      </c>
      <c r="D220" s="33">
        <f t="shared" si="22"/>
        <v>412.53205547326422</v>
      </c>
      <c r="E220" s="33">
        <f t="shared" si="23"/>
        <v>1478.1433515048634</v>
      </c>
      <c r="F220" s="33">
        <f t="shared" si="24"/>
        <v>150</v>
      </c>
      <c r="G220" s="33">
        <f t="shared" si="25"/>
        <v>1628.1433515048634</v>
      </c>
      <c r="H220" s="33">
        <f t="shared" si="26"/>
        <v>104831.74193191815</v>
      </c>
    </row>
    <row r="221" spans="1:8" x14ac:dyDescent="0.15">
      <c r="A221" s="21">
        <v>205</v>
      </c>
      <c r="B221" s="33">
        <f t="shared" si="27"/>
        <v>104831.74193191815</v>
      </c>
      <c r="C221" s="33">
        <f t="shared" si="21"/>
        <v>1890.6754069781277</v>
      </c>
      <c r="D221" s="33">
        <f t="shared" si="22"/>
        <v>406.22299998618286</v>
      </c>
      <c r="E221" s="33">
        <f t="shared" si="23"/>
        <v>1484.4524069919448</v>
      </c>
      <c r="F221" s="33">
        <f t="shared" si="24"/>
        <v>150</v>
      </c>
      <c r="G221" s="33">
        <f t="shared" si="25"/>
        <v>1634.4524069919448</v>
      </c>
      <c r="H221" s="33">
        <f t="shared" si="26"/>
        <v>103197.28952492621</v>
      </c>
    </row>
    <row r="222" spans="1:8" x14ac:dyDescent="0.15">
      <c r="A222" s="21">
        <v>206</v>
      </c>
      <c r="B222" s="33">
        <f t="shared" si="27"/>
        <v>103197.28952492621</v>
      </c>
      <c r="C222" s="33">
        <f t="shared" si="21"/>
        <v>1890.6754069781277</v>
      </c>
      <c r="D222" s="33">
        <f t="shared" si="22"/>
        <v>399.88949690908908</v>
      </c>
      <c r="E222" s="33">
        <f t="shared" si="23"/>
        <v>1490.7859100690387</v>
      </c>
      <c r="F222" s="33">
        <f t="shared" si="24"/>
        <v>150</v>
      </c>
      <c r="G222" s="33">
        <f t="shared" si="25"/>
        <v>1640.7859100690387</v>
      </c>
      <c r="H222" s="33">
        <f t="shared" si="26"/>
        <v>101556.50361485717</v>
      </c>
    </row>
    <row r="223" spans="1:8" x14ac:dyDescent="0.15">
      <c r="A223" s="21">
        <v>207</v>
      </c>
      <c r="B223" s="33">
        <f t="shared" si="27"/>
        <v>101556.50361485717</v>
      </c>
      <c r="C223" s="33">
        <f t="shared" si="21"/>
        <v>1890.6754069781277</v>
      </c>
      <c r="D223" s="33">
        <f t="shared" si="22"/>
        <v>393.53145150757155</v>
      </c>
      <c r="E223" s="33">
        <f t="shared" si="23"/>
        <v>1497.1439554705562</v>
      </c>
      <c r="F223" s="33">
        <f t="shared" si="24"/>
        <v>150</v>
      </c>
      <c r="G223" s="33">
        <f t="shared" si="25"/>
        <v>1647.1439554705562</v>
      </c>
      <c r="H223" s="33">
        <f t="shared" si="26"/>
        <v>99909.35965938661</v>
      </c>
    </row>
    <row r="224" spans="1:8" x14ac:dyDescent="0.15">
      <c r="A224" s="21">
        <v>208</v>
      </c>
      <c r="B224" s="33">
        <f t="shared" si="27"/>
        <v>99909.35965938661</v>
      </c>
      <c r="C224" s="33">
        <f t="shared" si="21"/>
        <v>1890.6754069781277</v>
      </c>
      <c r="D224" s="33">
        <f t="shared" si="22"/>
        <v>387.14876868012311</v>
      </c>
      <c r="E224" s="33">
        <f t="shared" si="23"/>
        <v>1503.5266382980046</v>
      </c>
      <c r="F224" s="33">
        <f t="shared" si="24"/>
        <v>150</v>
      </c>
      <c r="G224" s="33">
        <f t="shared" si="25"/>
        <v>1653.5266382980046</v>
      </c>
      <c r="H224" s="33">
        <f t="shared" si="26"/>
        <v>98255.833021088605</v>
      </c>
    </row>
    <row r="225" spans="1:8" x14ac:dyDescent="0.15">
      <c r="A225" s="21">
        <v>209</v>
      </c>
      <c r="B225" s="33">
        <f t="shared" si="27"/>
        <v>98255.833021088605</v>
      </c>
      <c r="C225" s="33">
        <f t="shared" si="21"/>
        <v>1890.6754069781277</v>
      </c>
      <c r="D225" s="33">
        <f t="shared" si="22"/>
        <v>380.74135295671834</v>
      </c>
      <c r="E225" s="33">
        <f t="shared" si="23"/>
        <v>1509.9340540214093</v>
      </c>
      <c r="F225" s="33">
        <f t="shared" si="24"/>
        <v>150</v>
      </c>
      <c r="G225" s="33">
        <f t="shared" si="25"/>
        <v>1659.9340540214093</v>
      </c>
      <c r="H225" s="33">
        <f t="shared" si="26"/>
        <v>96595.898967067202</v>
      </c>
    </row>
    <row r="226" spans="1:8" x14ac:dyDescent="0.15">
      <c r="A226" s="21">
        <v>210</v>
      </c>
      <c r="B226" s="33">
        <f t="shared" si="27"/>
        <v>96595.898967067202</v>
      </c>
      <c r="C226" s="33">
        <f t="shared" si="21"/>
        <v>1890.6754069781277</v>
      </c>
      <c r="D226" s="33">
        <f t="shared" si="22"/>
        <v>374.30910849738541</v>
      </c>
      <c r="E226" s="33">
        <f t="shared" si="23"/>
        <v>1516.3662984807424</v>
      </c>
      <c r="F226" s="33">
        <f t="shared" si="24"/>
        <v>150</v>
      </c>
      <c r="G226" s="33">
        <f t="shared" si="25"/>
        <v>1666.3662984807424</v>
      </c>
      <c r="H226" s="33">
        <f t="shared" si="26"/>
        <v>94929.532668586457</v>
      </c>
    </row>
    <row r="227" spans="1:8" x14ac:dyDescent="0.15">
      <c r="A227" s="21">
        <v>211</v>
      </c>
      <c r="B227" s="33">
        <f t="shared" si="27"/>
        <v>94929.532668586457</v>
      </c>
      <c r="C227" s="33">
        <f t="shared" si="21"/>
        <v>1890.6754069781277</v>
      </c>
      <c r="D227" s="33">
        <f t="shared" si="22"/>
        <v>367.85193909077253</v>
      </c>
      <c r="E227" s="33">
        <f t="shared" si="23"/>
        <v>1522.8234678873553</v>
      </c>
      <c r="F227" s="33">
        <f t="shared" si="24"/>
        <v>150</v>
      </c>
      <c r="G227" s="33">
        <f t="shared" si="25"/>
        <v>1672.8234678873553</v>
      </c>
      <c r="H227" s="33">
        <f t="shared" si="26"/>
        <v>93256.709200699101</v>
      </c>
    </row>
    <row r="228" spans="1:8" x14ac:dyDescent="0.15">
      <c r="A228" s="21">
        <v>212</v>
      </c>
      <c r="B228" s="33">
        <f t="shared" si="27"/>
        <v>93256.709200699101</v>
      </c>
      <c r="C228" s="33">
        <f t="shared" si="21"/>
        <v>1890.6754069781277</v>
      </c>
      <c r="D228" s="33">
        <f t="shared" si="22"/>
        <v>361.36974815270901</v>
      </c>
      <c r="E228" s="33">
        <f t="shared" si="23"/>
        <v>1529.3056588254187</v>
      </c>
      <c r="F228" s="33">
        <f t="shared" si="24"/>
        <v>150</v>
      </c>
      <c r="G228" s="33">
        <f t="shared" si="25"/>
        <v>1679.3056588254187</v>
      </c>
      <c r="H228" s="33">
        <f t="shared" si="26"/>
        <v>91577.403541873675</v>
      </c>
    </row>
    <row r="229" spans="1:8" x14ac:dyDescent="0.15">
      <c r="A229" s="21">
        <v>213</v>
      </c>
      <c r="B229" s="33">
        <f t="shared" si="27"/>
        <v>91577.403541873675</v>
      </c>
      <c r="C229" s="33">
        <f t="shared" si="21"/>
        <v>1890.6754069781277</v>
      </c>
      <c r="D229" s="33">
        <f t="shared" si="22"/>
        <v>354.86243872476047</v>
      </c>
      <c r="E229" s="33">
        <f t="shared" si="23"/>
        <v>1535.8129682533672</v>
      </c>
      <c r="F229" s="33">
        <f t="shared" si="24"/>
        <v>150</v>
      </c>
      <c r="G229" s="33">
        <f t="shared" si="25"/>
        <v>1685.8129682533672</v>
      </c>
      <c r="H229" s="33">
        <f t="shared" si="26"/>
        <v>89891.590573620313</v>
      </c>
    </row>
    <row r="230" spans="1:8" x14ac:dyDescent="0.15">
      <c r="A230" s="21">
        <v>214</v>
      </c>
      <c r="B230" s="33">
        <f t="shared" si="27"/>
        <v>89891.590573620313</v>
      </c>
      <c r="C230" s="33">
        <f t="shared" si="21"/>
        <v>1890.6754069781277</v>
      </c>
      <c r="D230" s="33">
        <f t="shared" si="22"/>
        <v>348.32991347277868</v>
      </c>
      <c r="E230" s="33">
        <f t="shared" si="23"/>
        <v>1542.3454935053492</v>
      </c>
      <c r="F230" s="33">
        <f t="shared" si="24"/>
        <v>150</v>
      </c>
      <c r="G230" s="33">
        <f t="shared" si="25"/>
        <v>1692.3454935053492</v>
      </c>
      <c r="H230" s="33">
        <f t="shared" si="26"/>
        <v>88199.245080114968</v>
      </c>
    </row>
    <row r="231" spans="1:8" x14ac:dyDescent="0.15">
      <c r="A231" s="21">
        <v>215</v>
      </c>
      <c r="B231" s="33">
        <f t="shared" si="27"/>
        <v>88199.245080114968</v>
      </c>
      <c r="C231" s="33">
        <f t="shared" si="21"/>
        <v>1890.6754069781277</v>
      </c>
      <c r="D231" s="33">
        <f t="shared" si="22"/>
        <v>341.77207468544549</v>
      </c>
      <c r="E231" s="33">
        <f t="shared" si="23"/>
        <v>1548.9033322926823</v>
      </c>
      <c r="F231" s="33">
        <f t="shared" si="24"/>
        <v>150</v>
      </c>
      <c r="G231" s="33">
        <f t="shared" si="25"/>
        <v>1698.9033322926823</v>
      </c>
      <c r="H231" s="33">
        <f t="shared" si="26"/>
        <v>86500.341747822284</v>
      </c>
    </row>
    <row r="232" spans="1:8" x14ac:dyDescent="0.15">
      <c r="A232" s="21">
        <v>216</v>
      </c>
      <c r="B232" s="33">
        <f t="shared" si="27"/>
        <v>86500.341747822284</v>
      </c>
      <c r="C232" s="33">
        <f t="shared" si="21"/>
        <v>1890.6754069781277</v>
      </c>
      <c r="D232" s="33">
        <f t="shared" si="22"/>
        <v>335.18882427281136</v>
      </c>
      <c r="E232" s="33">
        <f t="shared" si="23"/>
        <v>1555.4865827053163</v>
      </c>
      <c r="F232" s="33">
        <f t="shared" si="24"/>
        <v>150</v>
      </c>
      <c r="G232" s="33">
        <f t="shared" si="25"/>
        <v>1705.4865827053163</v>
      </c>
      <c r="H232" s="33">
        <f t="shared" si="26"/>
        <v>84794.855165116969</v>
      </c>
    </row>
    <row r="233" spans="1:8" x14ac:dyDescent="0.15">
      <c r="A233" s="21">
        <v>217</v>
      </c>
      <c r="B233" s="33">
        <f t="shared" si="27"/>
        <v>84794.855165116969</v>
      </c>
      <c r="C233" s="33">
        <f t="shared" si="21"/>
        <v>1890.6754069781277</v>
      </c>
      <c r="D233" s="33">
        <f t="shared" si="22"/>
        <v>328.58006376482825</v>
      </c>
      <c r="E233" s="33">
        <f t="shared" si="23"/>
        <v>1562.0953432132994</v>
      </c>
      <c r="F233" s="33">
        <f t="shared" si="24"/>
        <v>150</v>
      </c>
      <c r="G233" s="33">
        <f t="shared" si="25"/>
        <v>1712.0953432132994</v>
      </c>
      <c r="H233" s="33">
        <f t="shared" si="26"/>
        <v>83082.759821903674</v>
      </c>
    </row>
    <row r="234" spans="1:8" x14ac:dyDescent="0.15">
      <c r="A234" s="21">
        <v>218</v>
      </c>
      <c r="B234" s="33">
        <f t="shared" si="27"/>
        <v>83082.759821903674</v>
      </c>
      <c r="C234" s="33">
        <f t="shared" si="21"/>
        <v>1890.6754069781277</v>
      </c>
      <c r="D234" s="33">
        <f t="shared" si="22"/>
        <v>321.94569430987673</v>
      </c>
      <c r="E234" s="33">
        <f t="shared" si="23"/>
        <v>1568.7297126682511</v>
      </c>
      <c r="F234" s="33">
        <f t="shared" si="24"/>
        <v>150</v>
      </c>
      <c r="G234" s="33">
        <f t="shared" si="25"/>
        <v>1718.7297126682511</v>
      </c>
      <c r="H234" s="33">
        <f t="shared" si="26"/>
        <v>81364.03010923542</v>
      </c>
    </row>
    <row r="235" spans="1:8" x14ac:dyDescent="0.15">
      <c r="A235" s="21">
        <v>219</v>
      </c>
      <c r="B235" s="33">
        <f t="shared" si="27"/>
        <v>81364.03010923542</v>
      </c>
      <c r="C235" s="33">
        <f t="shared" si="21"/>
        <v>1890.6754069781277</v>
      </c>
      <c r="D235" s="33">
        <f t="shared" si="22"/>
        <v>315.28561667328728</v>
      </c>
      <c r="E235" s="33">
        <f t="shared" si="23"/>
        <v>1575.3897903048405</v>
      </c>
      <c r="F235" s="33">
        <f t="shared" si="24"/>
        <v>150</v>
      </c>
      <c r="G235" s="33">
        <f t="shared" si="25"/>
        <v>1725.3897903048405</v>
      </c>
      <c r="H235" s="33">
        <f t="shared" si="26"/>
        <v>79638.640318930586</v>
      </c>
    </row>
    <row r="236" spans="1:8" x14ac:dyDescent="0.15">
      <c r="A236" s="21">
        <v>220</v>
      </c>
      <c r="B236" s="33">
        <f t="shared" si="27"/>
        <v>79638.640318930586</v>
      </c>
      <c r="C236" s="33">
        <f t="shared" si="21"/>
        <v>1890.6754069781277</v>
      </c>
      <c r="D236" s="33">
        <f t="shared" si="22"/>
        <v>308.59973123585604</v>
      </c>
      <c r="E236" s="33">
        <f t="shared" si="23"/>
        <v>1582.0756757422716</v>
      </c>
      <c r="F236" s="33">
        <f t="shared" si="24"/>
        <v>150</v>
      </c>
      <c r="G236" s="33">
        <f t="shared" si="25"/>
        <v>1732.0756757422716</v>
      </c>
      <c r="H236" s="33">
        <f t="shared" si="26"/>
        <v>77906.564643188307</v>
      </c>
    </row>
    <row r="237" spans="1:8" x14ac:dyDescent="0.15">
      <c r="A237" s="21">
        <v>221</v>
      </c>
      <c r="B237" s="33">
        <f t="shared" si="27"/>
        <v>77906.564643188307</v>
      </c>
      <c r="C237" s="33">
        <f t="shared" si="21"/>
        <v>1890.6754069781277</v>
      </c>
      <c r="D237" s="33">
        <f t="shared" si="22"/>
        <v>301.88793799235469</v>
      </c>
      <c r="E237" s="33">
        <f t="shared" si="23"/>
        <v>1588.7874689857731</v>
      </c>
      <c r="F237" s="33">
        <f t="shared" si="24"/>
        <v>150</v>
      </c>
      <c r="G237" s="33">
        <f t="shared" si="25"/>
        <v>1738.7874689857731</v>
      </c>
      <c r="H237" s="33">
        <f t="shared" si="26"/>
        <v>76167.777174202536</v>
      </c>
    </row>
    <row r="238" spans="1:8" x14ac:dyDescent="0.15">
      <c r="A238" s="21">
        <v>222</v>
      </c>
      <c r="B238" s="33">
        <f t="shared" si="27"/>
        <v>76167.777174202536</v>
      </c>
      <c r="C238" s="33">
        <f t="shared" si="21"/>
        <v>1890.6754069781277</v>
      </c>
      <c r="D238" s="33">
        <f t="shared" si="22"/>
        <v>295.1501365500348</v>
      </c>
      <c r="E238" s="33">
        <f t="shared" si="23"/>
        <v>1595.5252704280929</v>
      </c>
      <c r="F238" s="33">
        <f t="shared" si="24"/>
        <v>150</v>
      </c>
      <c r="G238" s="33">
        <f t="shared" si="25"/>
        <v>1745.5252704280929</v>
      </c>
      <c r="H238" s="33">
        <f t="shared" si="26"/>
        <v>74422.25190377445</v>
      </c>
    </row>
    <row r="239" spans="1:8" x14ac:dyDescent="0.15">
      <c r="A239" s="21">
        <v>223</v>
      </c>
      <c r="B239" s="33">
        <f t="shared" si="27"/>
        <v>74422.25190377445</v>
      </c>
      <c r="C239" s="33">
        <f t="shared" si="21"/>
        <v>1890.6754069781277</v>
      </c>
      <c r="D239" s="33">
        <f t="shared" si="22"/>
        <v>288.38622612712601</v>
      </c>
      <c r="E239" s="33">
        <f t="shared" si="23"/>
        <v>1602.2891808510017</v>
      </c>
      <c r="F239" s="33">
        <f t="shared" si="24"/>
        <v>150</v>
      </c>
      <c r="G239" s="33">
        <f t="shared" si="25"/>
        <v>1752.2891808510017</v>
      </c>
      <c r="H239" s="33">
        <f t="shared" si="26"/>
        <v>72669.962722923447</v>
      </c>
    </row>
    <row r="240" spans="1:8" x14ac:dyDescent="0.15">
      <c r="A240" s="21">
        <v>224</v>
      </c>
      <c r="B240" s="33">
        <f t="shared" si="27"/>
        <v>72669.962722923447</v>
      </c>
      <c r="C240" s="33">
        <f t="shared" si="21"/>
        <v>1890.6754069781277</v>
      </c>
      <c r="D240" s="33">
        <f t="shared" si="22"/>
        <v>281.59610555132838</v>
      </c>
      <c r="E240" s="33">
        <f t="shared" si="23"/>
        <v>1609.0793014267992</v>
      </c>
      <c r="F240" s="33">
        <f t="shared" si="24"/>
        <v>150</v>
      </c>
      <c r="G240" s="33">
        <f t="shared" si="25"/>
        <v>1759.0793014267992</v>
      </c>
      <c r="H240" s="33">
        <f t="shared" si="26"/>
        <v>70910.883421496648</v>
      </c>
    </row>
    <row r="241" spans="1:8" x14ac:dyDescent="0.15">
      <c r="A241" s="21">
        <v>225</v>
      </c>
      <c r="B241" s="33">
        <f t="shared" si="27"/>
        <v>70910.883421496648</v>
      </c>
      <c r="C241" s="33">
        <f t="shared" si="21"/>
        <v>1890.6754069781277</v>
      </c>
      <c r="D241" s="33">
        <f t="shared" si="22"/>
        <v>274.77967325829951</v>
      </c>
      <c r="E241" s="33">
        <f t="shared" si="23"/>
        <v>1615.8957337198283</v>
      </c>
      <c r="F241" s="33">
        <f t="shared" si="24"/>
        <v>150</v>
      </c>
      <c r="G241" s="33">
        <f t="shared" si="25"/>
        <v>1765.8957337198283</v>
      </c>
      <c r="H241" s="33">
        <f t="shared" si="26"/>
        <v>69144.987687776826</v>
      </c>
    </row>
    <row r="242" spans="1:8" x14ac:dyDescent="0.15">
      <c r="A242" s="21">
        <v>226</v>
      </c>
      <c r="B242" s="33">
        <f t="shared" si="27"/>
        <v>69144.987687776826</v>
      </c>
      <c r="C242" s="33">
        <f t="shared" si="21"/>
        <v>1890.6754069781277</v>
      </c>
      <c r="D242" s="33">
        <f t="shared" si="22"/>
        <v>267.93682729013517</v>
      </c>
      <c r="E242" s="33">
        <f t="shared" si="23"/>
        <v>1622.7385796879926</v>
      </c>
      <c r="F242" s="33">
        <f t="shared" si="24"/>
        <v>150</v>
      </c>
      <c r="G242" s="33">
        <f t="shared" si="25"/>
        <v>1772.7385796879926</v>
      </c>
      <c r="H242" s="33">
        <f t="shared" si="26"/>
        <v>67372.249108088829</v>
      </c>
    </row>
    <row r="243" spans="1:8" x14ac:dyDescent="0.15">
      <c r="A243" s="21">
        <v>227</v>
      </c>
      <c r="B243" s="33">
        <f t="shared" si="27"/>
        <v>67372.249108088829</v>
      </c>
      <c r="C243" s="33">
        <f t="shared" si="21"/>
        <v>1890.6754069781277</v>
      </c>
      <c r="D243" s="33">
        <f t="shared" si="22"/>
        <v>261.06746529384424</v>
      </c>
      <c r="E243" s="33">
        <f t="shared" si="23"/>
        <v>1629.6079416842836</v>
      </c>
      <c r="F243" s="33">
        <f t="shared" si="24"/>
        <v>150</v>
      </c>
      <c r="G243" s="33">
        <f t="shared" si="25"/>
        <v>1779.6079416842836</v>
      </c>
      <c r="H243" s="33">
        <f t="shared" si="26"/>
        <v>65592.641166404544</v>
      </c>
    </row>
    <row r="244" spans="1:8" x14ac:dyDescent="0.15">
      <c r="A244" s="21">
        <v>228</v>
      </c>
      <c r="B244" s="33">
        <f t="shared" si="27"/>
        <v>65592.641166404544</v>
      </c>
      <c r="C244" s="33">
        <f t="shared" si="21"/>
        <v>1890.6754069781277</v>
      </c>
      <c r="D244" s="33">
        <f t="shared" si="22"/>
        <v>254.1714845198176</v>
      </c>
      <c r="E244" s="33">
        <f t="shared" si="23"/>
        <v>1636.5039224583102</v>
      </c>
      <c r="F244" s="33">
        <f t="shared" si="24"/>
        <v>150</v>
      </c>
      <c r="G244" s="33">
        <f t="shared" si="25"/>
        <v>1786.5039224583102</v>
      </c>
      <c r="H244" s="33">
        <f t="shared" si="26"/>
        <v>63806.137243946236</v>
      </c>
    </row>
    <row r="245" spans="1:8" x14ac:dyDescent="0.15">
      <c r="A245" s="21">
        <v>229</v>
      </c>
      <c r="B245" s="33">
        <f t="shared" si="27"/>
        <v>63806.137243946236</v>
      </c>
      <c r="C245" s="33">
        <f t="shared" si="21"/>
        <v>1890.6754069781277</v>
      </c>
      <c r="D245" s="33">
        <f t="shared" si="22"/>
        <v>247.24878182029167</v>
      </c>
      <c r="E245" s="33">
        <f t="shared" si="23"/>
        <v>1643.426625157836</v>
      </c>
      <c r="F245" s="33">
        <f t="shared" si="24"/>
        <v>150</v>
      </c>
      <c r="G245" s="33">
        <f t="shared" si="25"/>
        <v>1793.426625157836</v>
      </c>
      <c r="H245" s="33">
        <f t="shared" si="26"/>
        <v>62012.710618788398</v>
      </c>
    </row>
    <row r="246" spans="1:8" x14ac:dyDescent="0.15">
      <c r="A246" s="21">
        <v>230</v>
      </c>
      <c r="B246" s="33">
        <f t="shared" si="27"/>
        <v>62012.710618788398</v>
      </c>
      <c r="C246" s="33">
        <f t="shared" si="21"/>
        <v>1890.6754069781277</v>
      </c>
      <c r="D246" s="33">
        <f t="shared" si="22"/>
        <v>240.29925364780505</v>
      </c>
      <c r="E246" s="33">
        <f t="shared" si="23"/>
        <v>1650.3761533303227</v>
      </c>
      <c r="F246" s="33">
        <f t="shared" si="24"/>
        <v>150</v>
      </c>
      <c r="G246" s="33">
        <f t="shared" si="25"/>
        <v>1800.3761533303227</v>
      </c>
      <c r="H246" s="33">
        <f t="shared" si="26"/>
        <v>60212.334465458072</v>
      </c>
    </row>
    <row r="247" spans="1:8" x14ac:dyDescent="0.15">
      <c r="A247" s="21">
        <v>231</v>
      </c>
      <c r="B247" s="33">
        <f t="shared" si="27"/>
        <v>60212.334465458072</v>
      </c>
      <c r="C247" s="33">
        <f t="shared" si="21"/>
        <v>1890.6754069781277</v>
      </c>
      <c r="D247" s="33">
        <f t="shared" si="22"/>
        <v>233.32279605365002</v>
      </c>
      <c r="E247" s="33">
        <f t="shared" si="23"/>
        <v>1657.3526109244776</v>
      </c>
      <c r="F247" s="33">
        <f t="shared" si="24"/>
        <v>150</v>
      </c>
      <c r="G247" s="33">
        <f t="shared" si="25"/>
        <v>1807.3526109244776</v>
      </c>
      <c r="H247" s="33">
        <f t="shared" si="26"/>
        <v>58404.981854533595</v>
      </c>
    </row>
    <row r="248" spans="1:8" x14ac:dyDescent="0.15">
      <c r="A248" s="21">
        <v>232</v>
      </c>
      <c r="B248" s="33">
        <f t="shared" si="27"/>
        <v>58404.981854533595</v>
      </c>
      <c r="C248" s="33">
        <f t="shared" si="21"/>
        <v>1890.6754069781277</v>
      </c>
      <c r="D248" s="33">
        <f t="shared" si="22"/>
        <v>226.31930468631768</v>
      </c>
      <c r="E248" s="33">
        <f t="shared" si="23"/>
        <v>1664.35610229181</v>
      </c>
      <c r="F248" s="33">
        <f t="shared" si="24"/>
        <v>150</v>
      </c>
      <c r="G248" s="33">
        <f t="shared" si="25"/>
        <v>1814.35610229181</v>
      </c>
      <c r="H248" s="33">
        <f t="shared" si="26"/>
        <v>56590.625752241787</v>
      </c>
    </row>
    <row r="249" spans="1:8" x14ac:dyDescent="0.15">
      <c r="A249" s="21">
        <v>233</v>
      </c>
      <c r="B249" s="33">
        <f t="shared" si="27"/>
        <v>56590.625752241787</v>
      </c>
      <c r="C249" s="33">
        <f t="shared" si="21"/>
        <v>1890.6754069781277</v>
      </c>
      <c r="D249" s="33">
        <f t="shared" si="22"/>
        <v>219.28867478993692</v>
      </c>
      <c r="E249" s="33">
        <f t="shared" si="23"/>
        <v>1671.3867321881908</v>
      </c>
      <c r="F249" s="33">
        <f t="shared" si="24"/>
        <v>150</v>
      </c>
      <c r="G249" s="33">
        <f t="shared" si="25"/>
        <v>1821.3867321881908</v>
      </c>
      <c r="H249" s="33">
        <f t="shared" si="26"/>
        <v>54769.239020053596</v>
      </c>
    </row>
    <row r="250" spans="1:8" x14ac:dyDescent="0.15">
      <c r="A250" s="21">
        <v>234</v>
      </c>
      <c r="B250" s="33">
        <f t="shared" si="27"/>
        <v>54769.239020053596</v>
      </c>
      <c r="C250" s="33">
        <f t="shared" si="21"/>
        <v>1890.6754069781277</v>
      </c>
      <c r="D250" s="33">
        <f t="shared" si="22"/>
        <v>212.23080120270768</v>
      </c>
      <c r="E250" s="33">
        <f t="shared" si="23"/>
        <v>1678.4446057754201</v>
      </c>
      <c r="F250" s="33">
        <f t="shared" si="24"/>
        <v>150</v>
      </c>
      <c r="G250" s="33">
        <f t="shared" si="25"/>
        <v>1828.4446057754201</v>
      </c>
      <c r="H250" s="33">
        <f t="shared" si="26"/>
        <v>52940.794414278178</v>
      </c>
    </row>
    <row r="251" spans="1:8" x14ac:dyDescent="0.15">
      <c r="A251" s="21">
        <v>235</v>
      </c>
      <c r="B251" s="33">
        <f t="shared" si="27"/>
        <v>52940.794414278178</v>
      </c>
      <c r="C251" s="33">
        <f t="shared" si="21"/>
        <v>1890.6754069781277</v>
      </c>
      <c r="D251" s="33">
        <f t="shared" si="22"/>
        <v>205.14557835532793</v>
      </c>
      <c r="E251" s="33">
        <f t="shared" si="23"/>
        <v>1685.5298286227999</v>
      </c>
      <c r="F251" s="33">
        <f t="shared" si="24"/>
        <v>150</v>
      </c>
      <c r="G251" s="33">
        <f t="shared" si="25"/>
        <v>1835.5298286227999</v>
      </c>
      <c r="H251" s="33">
        <f t="shared" si="26"/>
        <v>51105.264585655379</v>
      </c>
    </row>
    <row r="252" spans="1:8" x14ac:dyDescent="0.15">
      <c r="A252" s="21">
        <v>236</v>
      </c>
      <c r="B252" s="33">
        <f t="shared" si="27"/>
        <v>51105.264585655379</v>
      </c>
      <c r="C252" s="33">
        <f t="shared" si="21"/>
        <v>1890.6754069781277</v>
      </c>
      <c r="D252" s="33">
        <f t="shared" si="22"/>
        <v>198.0329002694146</v>
      </c>
      <c r="E252" s="33">
        <f t="shared" si="23"/>
        <v>1692.6425067087132</v>
      </c>
      <c r="F252" s="33">
        <f t="shared" si="24"/>
        <v>150</v>
      </c>
      <c r="G252" s="33">
        <f t="shared" si="25"/>
        <v>1842.6425067087132</v>
      </c>
      <c r="H252" s="33">
        <f t="shared" si="26"/>
        <v>49262.622078946668</v>
      </c>
    </row>
    <row r="253" spans="1:8" x14ac:dyDescent="0.15">
      <c r="A253" s="21">
        <v>237</v>
      </c>
      <c r="B253" s="33">
        <f t="shared" si="27"/>
        <v>49262.622078946668</v>
      </c>
      <c r="C253" s="33">
        <f t="shared" si="21"/>
        <v>1890.6754069781277</v>
      </c>
      <c r="D253" s="33">
        <f t="shared" si="22"/>
        <v>190.89266055591833</v>
      </c>
      <c r="E253" s="33">
        <f t="shared" si="23"/>
        <v>1699.7827464222094</v>
      </c>
      <c r="F253" s="33">
        <f t="shared" si="24"/>
        <v>150</v>
      </c>
      <c r="G253" s="33">
        <f t="shared" si="25"/>
        <v>1849.7827464222094</v>
      </c>
      <c r="H253" s="33">
        <f t="shared" si="26"/>
        <v>47412.839332524461</v>
      </c>
    </row>
    <row r="254" spans="1:8" x14ac:dyDescent="0.15">
      <c r="A254" s="21">
        <v>238</v>
      </c>
      <c r="B254" s="33">
        <f t="shared" si="27"/>
        <v>47412.839332524461</v>
      </c>
      <c r="C254" s="33">
        <f t="shared" si="21"/>
        <v>1890.6754069781277</v>
      </c>
      <c r="D254" s="33">
        <f t="shared" si="22"/>
        <v>183.72475241353229</v>
      </c>
      <c r="E254" s="33">
        <f t="shared" si="23"/>
        <v>1706.9506545645954</v>
      </c>
      <c r="F254" s="33">
        <f t="shared" si="24"/>
        <v>150</v>
      </c>
      <c r="G254" s="33">
        <f t="shared" si="25"/>
        <v>1856.9506545645954</v>
      </c>
      <c r="H254" s="33">
        <f t="shared" si="26"/>
        <v>45555.888677959869</v>
      </c>
    </row>
    <row r="255" spans="1:8" x14ac:dyDescent="0.15">
      <c r="A255" s="21">
        <v>239</v>
      </c>
      <c r="B255" s="33">
        <f t="shared" si="27"/>
        <v>45555.888677959869</v>
      </c>
      <c r="C255" s="33">
        <f t="shared" si="21"/>
        <v>1890.6754069781277</v>
      </c>
      <c r="D255" s="33">
        <f t="shared" si="22"/>
        <v>176.52906862709449</v>
      </c>
      <c r="E255" s="33">
        <f t="shared" si="23"/>
        <v>1714.1463383510331</v>
      </c>
      <c r="F255" s="33">
        <f t="shared" si="24"/>
        <v>150</v>
      </c>
      <c r="G255" s="33">
        <f t="shared" si="25"/>
        <v>1864.1463383510331</v>
      </c>
      <c r="H255" s="33">
        <f t="shared" si="26"/>
        <v>43691.742339608834</v>
      </c>
    </row>
    <row r="256" spans="1:8" x14ac:dyDescent="0.15">
      <c r="A256" s="21">
        <v>240</v>
      </c>
      <c r="B256" s="33">
        <f t="shared" si="27"/>
        <v>43691.742339608834</v>
      </c>
      <c r="C256" s="33">
        <f t="shared" si="21"/>
        <v>1890.6754069781277</v>
      </c>
      <c r="D256" s="33">
        <f t="shared" si="22"/>
        <v>169.30550156598423</v>
      </c>
      <c r="E256" s="33">
        <f t="shared" si="23"/>
        <v>1721.3699054121435</v>
      </c>
      <c r="F256" s="33">
        <f t="shared" si="24"/>
        <v>150</v>
      </c>
      <c r="G256" s="33">
        <f t="shared" si="25"/>
        <v>1871.3699054121435</v>
      </c>
      <c r="H256" s="33">
        <f t="shared" si="26"/>
        <v>41820.372434196688</v>
      </c>
    </row>
    <row r="257" spans="1:8" x14ac:dyDescent="0.15">
      <c r="A257" s="21">
        <v>241</v>
      </c>
      <c r="B257" s="33">
        <f t="shared" si="27"/>
        <v>41820.372434196688</v>
      </c>
      <c r="C257" s="33">
        <f t="shared" si="21"/>
        <v>1890.6754069781277</v>
      </c>
      <c r="D257" s="33">
        <f t="shared" si="22"/>
        <v>162.05394318251217</v>
      </c>
      <c r="E257" s="33">
        <f t="shared" si="23"/>
        <v>1728.6214637956155</v>
      </c>
      <c r="F257" s="33">
        <f t="shared" si="24"/>
        <v>150</v>
      </c>
      <c r="G257" s="33">
        <f t="shared" si="25"/>
        <v>1878.6214637956155</v>
      </c>
      <c r="H257" s="33">
        <f t="shared" si="26"/>
        <v>39941.750970401074</v>
      </c>
    </row>
    <row r="258" spans="1:8" x14ac:dyDescent="0.15">
      <c r="A258" s="21">
        <v>242</v>
      </c>
      <c r="B258" s="33">
        <f t="shared" si="27"/>
        <v>39941.750970401074</v>
      </c>
      <c r="C258" s="33">
        <f t="shared" si="21"/>
        <v>1890.6754069781277</v>
      </c>
      <c r="D258" s="33">
        <f t="shared" si="22"/>
        <v>154.77428501030417</v>
      </c>
      <c r="E258" s="33">
        <f t="shared" si="23"/>
        <v>1735.9011219678237</v>
      </c>
      <c r="F258" s="33">
        <f t="shared" si="24"/>
        <v>150</v>
      </c>
      <c r="G258" s="33">
        <f t="shared" si="25"/>
        <v>1885.9011219678237</v>
      </c>
      <c r="H258" s="33">
        <f t="shared" si="26"/>
        <v>38055.849848433252</v>
      </c>
    </row>
    <row r="259" spans="1:8" x14ac:dyDescent="0.15">
      <c r="A259" s="21">
        <v>243</v>
      </c>
      <c r="B259" s="33">
        <f t="shared" si="27"/>
        <v>38055.849848433252</v>
      </c>
      <c r="C259" s="33">
        <f t="shared" si="21"/>
        <v>1890.6754069781277</v>
      </c>
      <c r="D259" s="33">
        <f t="shared" si="22"/>
        <v>147.46641816267885</v>
      </c>
      <c r="E259" s="33">
        <f t="shared" si="23"/>
        <v>1743.2089888154489</v>
      </c>
      <c r="F259" s="33">
        <f t="shared" si="24"/>
        <v>150</v>
      </c>
      <c r="G259" s="33">
        <f t="shared" si="25"/>
        <v>1893.2089888154489</v>
      </c>
      <c r="H259" s="33">
        <f t="shared" si="26"/>
        <v>36162.640859617801</v>
      </c>
    </row>
    <row r="260" spans="1:8" x14ac:dyDescent="0.15">
      <c r="A260" s="21">
        <v>244</v>
      </c>
      <c r="B260" s="33">
        <f t="shared" si="27"/>
        <v>36162.640859617801</v>
      </c>
      <c r="C260" s="33">
        <f t="shared" si="21"/>
        <v>1890.6754069781277</v>
      </c>
      <c r="D260" s="33">
        <f t="shared" si="22"/>
        <v>140.13023333101899</v>
      </c>
      <c r="E260" s="33">
        <f t="shared" si="23"/>
        <v>1750.5451736471086</v>
      </c>
      <c r="F260" s="33">
        <f t="shared" si="24"/>
        <v>150</v>
      </c>
      <c r="G260" s="33">
        <f t="shared" si="25"/>
        <v>1900.5451736471086</v>
      </c>
      <c r="H260" s="33">
        <f t="shared" si="26"/>
        <v>34262.095685970693</v>
      </c>
    </row>
    <row r="261" spans="1:8" x14ac:dyDescent="0.15">
      <c r="A261" s="21">
        <v>245</v>
      </c>
      <c r="B261" s="33">
        <f t="shared" si="27"/>
        <v>34262.095685970693</v>
      </c>
      <c r="C261" s="33">
        <f t="shared" si="21"/>
        <v>1890.6754069781277</v>
      </c>
      <c r="D261" s="33">
        <f t="shared" si="22"/>
        <v>132.76562078313643</v>
      </c>
      <c r="E261" s="33">
        <f t="shared" si="23"/>
        <v>1757.9097861949913</v>
      </c>
      <c r="F261" s="33">
        <f t="shared" si="24"/>
        <v>150</v>
      </c>
      <c r="G261" s="33">
        <f t="shared" si="25"/>
        <v>1907.9097861949913</v>
      </c>
      <c r="H261" s="33">
        <f t="shared" si="26"/>
        <v>32354.185899775701</v>
      </c>
    </row>
    <row r="262" spans="1:8" x14ac:dyDescent="0.15">
      <c r="A262" s="21">
        <v>246</v>
      </c>
      <c r="B262" s="33">
        <f t="shared" si="27"/>
        <v>32354.185899775701</v>
      </c>
      <c r="C262" s="33">
        <f t="shared" si="21"/>
        <v>1890.6754069781277</v>
      </c>
      <c r="D262" s="33">
        <f t="shared" si="22"/>
        <v>125.37247036163085</v>
      </c>
      <c r="E262" s="33">
        <f t="shared" si="23"/>
        <v>1765.3029366164969</v>
      </c>
      <c r="F262" s="33">
        <f t="shared" si="24"/>
        <v>150</v>
      </c>
      <c r="G262" s="33">
        <f t="shared" si="25"/>
        <v>1915.3029366164969</v>
      </c>
      <c r="H262" s="33">
        <f t="shared" si="26"/>
        <v>30438.882963159205</v>
      </c>
    </row>
    <row r="263" spans="1:8" x14ac:dyDescent="0.15">
      <c r="A263" s="21">
        <v>247</v>
      </c>
      <c r="B263" s="33">
        <f t="shared" si="27"/>
        <v>30438.882963159205</v>
      </c>
      <c r="C263" s="33">
        <f t="shared" si="21"/>
        <v>1890.6754069781277</v>
      </c>
      <c r="D263" s="33">
        <f t="shared" si="22"/>
        <v>117.95067148224192</v>
      </c>
      <c r="E263" s="33">
        <f t="shared" si="23"/>
        <v>1772.7247354958859</v>
      </c>
      <c r="F263" s="33">
        <f t="shared" si="24"/>
        <v>150</v>
      </c>
      <c r="G263" s="33">
        <f t="shared" si="25"/>
        <v>1922.7247354958859</v>
      </c>
      <c r="H263" s="33">
        <f t="shared" si="26"/>
        <v>28516.15822766332</v>
      </c>
    </row>
    <row r="264" spans="1:8" x14ac:dyDescent="0.15">
      <c r="A264" s="21">
        <v>248</v>
      </c>
      <c r="B264" s="33">
        <f t="shared" si="27"/>
        <v>28516.15822766332</v>
      </c>
      <c r="C264" s="33">
        <f t="shared" si="21"/>
        <v>1890.6754069781277</v>
      </c>
      <c r="D264" s="33">
        <f t="shared" si="22"/>
        <v>110.50011313219537</v>
      </c>
      <c r="E264" s="33">
        <f t="shared" si="23"/>
        <v>1780.1752938459324</v>
      </c>
      <c r="F264" s="33">
        <f t="shared" si="24"/>
        <v>150</v>
      </c>
      <c r="G264" s="33">
        <f t="shared" si="25"/>
        <v>1930.1752938459324</v>
      </c>
      <c r="H264" s="33">
        <f t="shared" si="26"/>
        <v>26585.982933817388</v>
      </c>
    </row>
    <row r="265" spans="1:8" x14ac:dyDescent="0.15">
      <c r="A265" s="21">
        <v>249</v>
      </c>
      <c r="B265" s="33">
        <f t="shared" si="27"/>
        <v>26585.982933817388</v>
      </c>
      <c r="C265" s="33">
        <f t="shared" si="21"/>
        <v>1890.6754069781277</v>
      </c>
      <c r="D265" s="33">
        <f t="shared" si="22"/>
        <v>103.02068386854238</v>
      </c>
      <c r="E265" s="33">
        <f t="shared" si="23"/>
        <v>1787.6547231095853</v>
      </c>
      <c r="F265" s="33">
        <f t="shared" si="24"/>
        <v>150</v>
      </c>
      <c r="G265" s="33">
        <f t="shared" si="25"/>
        <v>1937.6547231095853</v>
      </c>
      <c r="H265" s="33">
        <f t="shared" si="26"/>
        <v>24648.328210707801</v>
      </c>
    </row>
    <row r="266" spans="1:8" x14ac:dyDescent="0.15">
      <c r="A266" s="21">
        <v>250</v>
      </c>
      <c r="B266" s="33">
        <f t="shared" si="27"/>
        <v>24648.328210707801</v>
      </c>
      <c r="C266" s="33">
        <f t="shared" si="21"/>
        <v>1890.6754069781277</v>
      </c>
      <c r="D266" s="33">
        <f t="shared" si="22"/>
        <v>95.512271816492728</v>
      </c>
      <c r="E266" s="33">
        <f t="shared" si="23"/>
        <v>1795.163135161635</v>
      </c>
      <c r="F266" s="33">
        <f t="shared" si="24"/>
        <v>150</v>
      </c>
      <c r="G266" s="33">
        <f t="shared" si="25"/>
        <v>1945.163135161635</v>
      </c>
      <c r="H266" s="33">
        <f t="shared" si="26"/>
        <v>22703.165075546167</v>
      </c>
    </row>
    <row r="267" spans="1:8" x14ac:dyDescent="0.15">
      <c r="A267" s="21">
        <v>251</v>
      </c>
      <c r="B267" s="33">
        <f t="shared" si="27"/>
        <v>22703.165075546167</v>
      </c>
      <c r="C267" s="33">
        <f t="shared" si="21"/>
        <v>1890.6754069781277</v>
      </c>
      <c r="D267" s="33">
        <f t="shared" si="22"/>
        <v>87.974764667741397</v>
      </c>
      <c r="E267" s="33">
        <f t="shared" si="23"/>
        <v>1802.7006423103862</v>
      </c>
      <c r="F267" s="33">
        <f t="shared" si="24"/>
        <v>150</v>
      </c>
      <c r="G267" s="33">
        <f t="shared" si="25"/>
        <v>1952.7006423103862</v>
      </c>
      <c r="H267" s="33">
        <f t="shared" si="26"/>
        <v>20750.464433235782</v>
      </c>
    </row>
    <row r="268" spans="1:8" x14ac:dyDescent="0.15">
      <c r="A268" s="21">
        <v>252</v>
      </c>
      <c r="B268" s="33">
        <f t="shared" si="27"/>
        <v>20750.464433235782</v>
      </c>
      <c r="C268" s="33">
        <f t="shared" si="21"/>
        <v>1890.6754069781277</v>
      </c>
      <c r="D268" s="33">
        <f t="shared" si="22"/>
        <v>80.408049678788657</v>
      </c>
      <c r="E268" s="33">
        <f t="shared" si="23"/>
        <v>1810.267357299339</v>
      </c>
      <c r="F268" s="33">
        <f t="shared" si="24"/>
        <v>150</v>
      </c>
      <c r="G268" s="33">
        <f t="shared" si="25"/>
        <v>1960.267357299339</v>
      </c>
      <c r="H268" s="33">
        <f t="shared" si="26"/>
        <v>18790.197075936441</v>
      </c>
    </row>
    <row r="269" spans="1:8" x14ac:dyDescent="0.15">
      <c r="A269" s="21">
        <v>253</v>
      </c>
      <c r="B269" s="33">
        <f t="shared" si="27"/>
        <v>18790.197075936441</v>
      </c>
      <c r="C269" s="33">
        <f t="shared" si="21"/>
        <v>1890.6754069781277</v>
      </c>
      <c r="D269" s="33">
        <f t="shared" si="22"/>
        <v>72.812013669253716</v>
      </c>
      <c r="E269" s="33">
        <f t="shared" si="23"/>
        <v>1817.863393308874</v>
      </c>
      <c r="F269" s="33">
        <f t="shared" si="24"/>
        <v>150</v>
      </c>
      <c r="G269" s="33">
        <f t="shared" si="25"/>
        <v>1967.863393308874</v>
      </c>
      <c r="H269" s="33">
        <f t="shared" si="26"/>
        <v>16822.333682627566</v>
      </c>
    </row>
    <row r="270" spans="1:8" x14ac:dyDescent="0.15">
      <c r="A270" s="21">
        <v>254</v>
      </c>
      <c r="B270" s="33">
        <f t="shared" si="27"/>
        <v>16822.333682627566</v>
      </c>
      <c r="C270" s="33">
        <f t="shared" si="21"/>
        <v>1890.6754069781277</v>
      </c>
      <c r="D270" s="33">
        <f t="shared" si="22"/>
        <v>65.186543020181816</v>
      </c>
      <c r="E270" s="33">
        <f t="shared" si="23"/>
        <v>1825.488863957946</v>
      </c>
      <c r="F270" s="33">
        <f t="shared" si="24"/>
        <v>150</v>
      </c>
      <c r="G270" s="33">
        <f t="shared" si="25"/>
        <v>1975.488863957946</v>
      </c>
      <c r="H270" s="33">
        <f t="shared" si="26"/>
        <v>14846.844818669621</v>
      </c>
    </row>
    <row r="271" spans="1:8" x14ac:dyDescent="0.15">
      <c r="A271" s="21">
        <v>255</v>
      </c>
      <c r="B271" s="33">
        <f t="shared" si="27"/>
        <v>14846.844818669621</v>
      </c>
      <c r="C271" s="33">
        <f t="shared" si="21"/>
        <v>1890.6754069781277</v>
      </c>
      <c r="D271" s="33">
        <f t="shared" si="22"/>
        <v>57.531523672344782</v>
      </c>
      <c r="E271" s="33">
        <f t="shared" si="23"/>
        <v>1833.143883305783</v>
      </c>
      <c r="F271" s="33">
        <f t="shared" si="24"/>
        <v>150</v>
      </c>
      <c r="G271" s="33">
        <f t="shared" si="25"/>
        <v>1983.143883305783</v>
      </c>
      <c r="H271" s="33">
        <f t="shared" si="26"/>
        <v>12863.700935363837</v>
      </c>
    </row>
    <row r="272" spans="1:8" x14ac:dyDescent="0.15">
      <c r="A272" s="21">
        <v>256</v>
      </c>
      <c r="B272" s="33">
        <f t="shared" si="27"/>
        <v>12863.700935363837</v>
      </c>
      <c r="C272" s="33">
        <f t="shared" si="21"/>
        <v>1890.6754069781277</v>
      </c>
      <c r="D272" s="33">
        <f t="shared" si="22"/>
        <v>49.846841124534869</v>
      </c>
      <c r="E272" s="33">
        <f t="shared" si="23"/>
        <v>1840.8285658535929</v>
      </c>
      <c r="F272" s="33">
        <f t="shared" si="24"/>
        <v>150</v>
      </c>
      <c r="G272" s="33">
        <f t="shared" si="25"/>
        <v>1990.8285658535929</v>
      </c>
      <c r="H272" s="33">
        <f t="shared" si="26"/>
        <v>10872.872369510244</v>
      </c>
    </row>
    <row r="273" spans="1:8" x14ac:dyDescent="0.15">
      <c r="A273" s="21">
        <v>257</v>
      </c>
      <c r="B273" s="33">
        <f t="shared" si="27"/>
        <v>10872.872369510244</v>
      </c>
      <c r="C273" s="33">
        <f t="shared" ref="C273:C316" si="28">$B$13</f>
        <v>1890.6754069781277</v>
      </c>
      <c r="D273" s="33">
        <f t="shared" ref="D273:D316" si="29">B273*$B$12</f>
        <v>42.132380431852191</v>
      </c>
      <c r="E273" s="33">
        <f t="shared" ref="E273:E316" si="30">C273-D273</f>
        <v>1848.5430265462755</v>
      </c>
      <c r="F273" s="33">
        <f t="shared" ref="F273:F316" si="31">IF(B273&gt;0,$B$10,0)</f>
        <v>150</v>
      </c>
      <c r="G273" s="33">
        <f t="shared" ref="G273:G316" si="32">MIN(B273,E273+F273)</f>
        <v>1998.5430265462755</v>
      </c>
      <c r="H273" s="33">
        <f t="shared" ref="H273:H316" si="33">MAX(0,B273-G273)</f>
        <v>8874.3293429639671</v>
      </c>
    </row>
    <row r="274" spans="1:8" x14ac:dyDescent="0.15">
      <c r="A274" s="21">
        <v>258</v>
      </c>
      <c r="B274" s="33">
        <f t="shared" ref="B274:B316" si="34">H273</f>
        <v>8874.3293429639671</v>
      </c>
      <c r="C274" s="33">
        <f t="shared" si="28"/>
        <v>1890.6754069781277</v>
      </c>
      <c r="D274" s="33">
        <f t="shared" si="29"/>
        <v>34.388026203985369</v>
      </c>
      <c r="E274" s="33">
        <f t="shared" si="30"/>
        <v>1856.2873807741423</v>
      </c>
      <c r="F274" s="33">
        <f t="shared" si="31"/>
        <v>150</v>
      </c>
      <c r="G274" s="33">
        <f t="shared" si="32"/>
        <v>2006.2873807741423</v>
      </c>
      <c r="H274" s="33">
        <f t="shared" si="33"/>
        <v>6868.0419621898245</v>
      </c>
    </row>
    <row r="275" spans="1:8" x14ac:dyDescent="0.15">
      <c r="A275" s="21">
        <v>259</v>
      </c>
      <c r="B275" s="33">
        <f t="shared" si="34"/>
        <v>6868.0419621898245</v>
      </c>
      <c r="C275" s="33">
        <f t="shared" si="28"/>
        <v>1890.6754069781277</v>
      </c>
      <c r="D275" s="33">
        <f t="shared" si="29"/>
        <v>26.613662603485569</v>
      </c>
      <c r="E275" s="33">
        <f t="shared" si="30"/>
        <v>1864.0617443746421</v>
      </c>
      <c r="F275" s="33">
        <f t="shared" si="31"/>
        <v>150</v>
      </c>
      <c r="G275" s="33">
        <f t="shared" si="32"/>
        <v>2014.0617443746421</v>
      </c>
      <c r="H275" s="33">
        <f t="shared" si="33"/>
        <v>4853.9802178151822</v>
      </c>
    </row>
    <row r="276" spans="1:8" x14ac:dyDescent="0.15">
      <c r="A276" s="21">
        <v>260</v>
      </c>
      <c r="B276" s="33">
        <f t="shared" si="34"/>
        <v>4853.9802178151822</v>
      </c>
      <c r="C276" s="33">
        <f t="shared" si="28"/>
        <v>1890.6754069781277</v>
      </c>
      <c r="D276" s="33">
        <f t="shared" si="29"/>
        <v>18.80917334403383</v>
      </c>
      <c r="E276" s="33">
        <f t="shared" si="30"/>
        <v>1871.866233634094</v>
      </c>
      <c r="F276" s="33">
        <f t="shared" si="31"/>
        <v>150</v>
      </c>
      <c r="G276" s="33">
        <f t="shared" si="32"/>
        <v>2021.866233634094</v>
      </c>
      <c r="H276" s="33">
        <f t="shared" si="33"/>
        <v>2832.1139841810882</v>
      </c>
    </row>
    <row r="277" spans="1:8" x14ac:dyDescent="0.15">
      <c r="A277" s="21">
        <v>261</v>
      </c>
      <c r="B277" s="33">
        <f t="shared" si="34"/>
        <v>2832.1139841810882</v>
      </c>
      <c r="C277" s="33">
        <f t="shared" si="28"/>
        <v>1890.6754069781277</v>
      </c>
      <c r="D277" s="33">
        <f t="shared" si="29"/>
        <v>10.974441688701717</v>
      </c>
      <c r="E277" s="33">
        <f t="shared" si="30"/>
        <v>1879.700965289426</v>
      </c>
      <c r="F277" s="33">
        <f t="shared" si="31"/>
        <v>150</v>
      </c>
      <c r="G277" s="33">
        <f t="shared" si="32"/>
        <v>2029.700965289426</v>
      </c>
      <c r="H277" s="33">
        <f t="shared" si="33"/>
        <v>802.4130188916622</v>
      </c>
    </row>
    <row r="278" spans="1:8" x14ac:dyDescent="0.15">
      <c r="A278" s="21">
        <v>262</v>
      </c>
      <c r="B278" s="33">
        <f t="shared" si="34"/>
        <v>802.4130188916622</v>
      </c>
      <c r="C278" s="33">
        <f t="shared" si="28"/>
        <v>1890.6754069781277</v>
      </c>
      <c r="D278" s="33">
        <f t="shared" si="29"/>
        <v>3.1093504482051912</v>
      </c>
      <c r="E278" s="33">
        <f t="shared" si="30"/>
        <v>1887.5660565299227</v>
      </c>
      <c r="F278" s="33">
        <f t="shared" si="31"/>
        <v>150</v>
      </c>
      <c r="G278" s="33">
        <f t="shared" si="32"/>
        <v>802.4130188916622</v>
      </c>
      <c r="H278" s="33">
        <f t="shared" si="33"/>
        <v>0</v>
      </c>
    </row>
    <row r="279" spans="1:8" x14ac:dyDescent="0.15">
      <c r="A279" s="21">
        <v>263</v>
      </c>
      <c r="B279" s="33">
        <f t="shared" si="34"/>
        <v>0</v>
      </c>
      <c r="C279" s="33">
        <f t="shared" si="28"/>
        <v>1890.6754069781277</v>
      </c>
      <c r="D279" s="33">
        <f t="shared" si="29"/>
        <v>0</v>
      </c>
      <c r="E279" s="33">
        <f t="shared" si="30"/>
        <v>1890.6754069781277</v>
      </c>
      <c r="F279" s="33">
        <f t="shared" si="31"/>
        <v>0</v>
      </c>
      <c r="G279" s="33">
        <f t="shared" si="32"/>
        <v>0</v>
      </c>
      <c r="H279" s="33">
        <f t="shared" si="33"/>
        <v>0</v>
      </c>
    </row>
    <row r="280" spans="1:8" x14ac:dyDescent="0.15">
      <c r="A280" s="21">
        <v>264</v>
      </c>
      <c r="B280" s="33">
        <f t="shared" si="34"/>
        <v>0</v>
      </c>
      <c r="C280" s="33">
        <f t="shared" si="28"/>
        <v>1890.6754069781277</v>
      </c>
      <c r="D280" s="33">
        <f t="shared" si="29"/>
        <v>0</v>
      </c>
      <c r="E280" s="33">
        <f t="shared" si="30"/>
        <v>1890.6754069781277</v>
      </c>
      <c r="F280" s="33">
        <f t="shared" si="31"/>
        <v>0</v>
      </c>
      <c r="G280" s="33">
        <f t="shared" si="32"/>
        <v>0</v>
      </c>
      <c r="H280" s="33">
        <f t="shared" si="33"/>
        <v>0</v>
      </c>
    </row>
    <row r="281" spans="1:8" x14ac:dyDescent="0.15">
      <c r="A281" s="21">
        <v>265</v>
      </c>
      <c r="B281" s="33">
        <f t="shared" si="34"/>
        <v>0</v>
      </c>
      <c r="C281" s="33">
        <f t="shared" si="28"/>
        <v>1890.6754069781277</v>
      </c>
      <c r="D281" s="33">
        <f t="shared" si="29"/>
        <v>0</v>
      </c>
      <c r="E281" s="33">
        <f t="shared" si="30"/>
        <v>1890.6754069781277</v>
      </c>
      <c r="F281" s="33">
        <f t="shared" si="31"/>
        <v>0</v>
      </c>
      <c r="G281" s="33">
        <f t="shared" si="32"/>
        <v>0</v>
      </c>
      <c r="H281" s="33">
        <f t="shared" si="33"/>
        <v>0</v>
      </c>
    </row>
    <row r="282" spans="1:8" x14ac:dyDescent="0.15">
      <c r="A282" s="21">
        <v>266</v>
      </c>
      <c r="B282" s="33">
        <f t="shared" si="34"/>
        <v>0</v>
      </c>
      <c r="C282" s="33">
        <f t="shared" si="28"/>
        <v>1890.6754069781277</v>
      </c>
      <c r="D282" s="33">
        <f t="shared" si="29"/>
        <v>0</v>
      </c>
      <c r="E282" s="33">
        <f t="shared" si="30"/>
        <v>1890.6754069781277</v>
      </c>
      <c r="F282" s="33">
        <f t="shared" si="31"/>
        <v>0</v>
      </c>
      <c r="G282" s="33">
        <f t="shared" si="32"/>
        <v>0</v>
      </c>
      <c r="H282" s="33">
        <f t="shared" si="33"/>
        <v>0</v>
      </c>
    </row>
    <row r="283" spans="1:8" x14ac:dyDescent="0.15">
      <c r="A283" s="21">
        <v>267</v>
      </c>
      <c r="B283" s="33">
        <f t="shared" si="34"/>
        <v>0</v>
      </c>
      <c r="C283" s="33">
        <f t="shared" si="28"/>
        <v>1890.6754069781277</v>
      </c>
      <c r="D283" s="33">
        <f t="shared" si="29"/>
        <v>0</v>
      </c>
      <c r="E283" s="33">
        <f t="shared" si="30"/>
        <v>1890.6754069781277</v>
      </c>
      <c r="F283" s="33">
        <f t="shared" si="31"/>
        <v>0</v>
      </c>
      <c r="G283" s="33">
        <f t="shared" si="32"/>
        <v>0</v>
      </c>
      <c r="H283" s="33">
        <f t="shared" si="33"/>
        <v>0</v>
      </c>
    </row>
    <row r="284" spans="1:8" x14ac:dyDescent="0.15">
      <c r="A284" s="21">
        <v>268</v>
      </c>
      <c r="B284" s="33">
        <f t="shared" si="34"/>
        <v>0</v>
      </c>
      <c r="C284" s="33">
        <f t="shared" si="28"/>
        <v>1890.6754069781277</v>
      </c>
      <c r="D284" s="33">
        <f t="shared" si="29"/>
        <v>0</v>
      </c>
      <c r="E284" s="33">
        <f t="shared" si="30"/>
        <v>1890.6754069781277</v>
      </c>
      <c r="F284" s="33">
        <f t="shared" si="31"/>
        <v>0</v>
      </c>
      <c r="G284" s="33">
        <f t="shared" si="32"/>
        <v>0</v>
      </c>
      <c r="H284" s="33">
        <f t="shared" si="33"/>
        <v>0</v>
      </c>
    </row>
    <row r="285" spans="1:8" x14ac:dyDescent="0.15">
      <c r="A285" s="21">
        <v>269</v>
      </c>
      <c r="B285" s="33">
        <f t="shared" si="34"/>
        <v>0</v>
      </c>
      <c r="C285" s="33">
        <f t="shared" si="28"/>
        <v>1890.6754069781277</v>
      </c>
      <c r="D285" s="33">
        <f t="shared" si="29"/>
        <v>0</v>
      </c>
      <c r="E285" s="33">
        <f t="shared" si="30"/>
        <v>1890.6754069781277</v>
      </c>
      <c r="F285" s="33">
        <f t="shared" si="31"/>
        <v>0</v>
      </c>
      <c r="G285" s="33">
        <f t="shared" si="32"/>
        <v>0</v>
      </c>
      <c r="H285" s="33">
        <f t="shared" si="33"/>
        <v>0</v>
      </c>
    </row>
    <row r="286" spans="1:8" x14ac:dyDescent="0.15">
      <c r="A286" s="21">
        <v>270</v>
      </c>
      <c r="B286" s="33">
        <f t="shared" si="34"/>
        <v>0</v>
      </c>
      <c r="C286" s="33">
        <f t="shared" si="28"/>
        <v>1890.6754069781277</v>
      </c>
      <c r="D286" s="33">
        <f t="shared" si="29"/>
        <v>0</v>
      </c>
      <c r="E286" s="33">
        <f t="shared" si="30"/>
        <v>1890.6754069781277</v>
      </c>
      <c r="F286" s="33">
        <f t="shared" si="31"/>
        <v>0</v>
      </c>
      <c r="G286" s="33">
        <f t="shared" si="32"/>
        <v>0</v>
      </c>
      <c r="H286" s="33">
        <f t="shared" si="33"/>
        <v>0</v>
      </c>
    </row>
    <row r="287" spans="1:8" x14ac:dyDescent="0.15">
      <c r="A287" s="21">
        <v>271</v>
      </c>
      <c r="B287" s="33">
        <f t="shared" si="34"/>
        <v>0</v>
      </c>
      <c r="C287" s="33">
        <f t="shared" si="28"/>
        <v>1890.6754069781277</v>
      </c>
      <c r="D287" s="33">
        <f t="shared" si="29"/>
        <v>0</v>
      </c>
      <c r="E287" s="33">
        <f t="shared" si="30"/>
        <v>1890.6754069781277</v>
      </c>
      <c r="F287" s="33">
        <f t="shared" si="31"/>
        <v>0</v>
      </c>
      <c r="G287" s="33">
        <f t="shared" si="32"/>
        <v>0</v>
      </c>
      <c r="H287" s="33">
        <f t="shared" si="33"/>
        <v>0</v>
      </c>
    </row>
    <row r="288" spans="1:8" x14ac:dyDescent="0.15">
      <c r="A288" s="21">
        <v>272</v>
      </c>
      <c r="B288" s="33">
        <f t="shared" si="34"/>
        <v>0</v>
      </c>
      <c r="C288" s="33">
        <f t="shared" si="28"/>
        <v>1890.6754069781277</v>
      </c>
      <c r="D288" s="33">
        <f t="shared" si="29"/>
        <v>0</v>
      </c>
      <c r="E288" s="33">
        <f t="shared" si="30"/>
        <v>1890.6754069781277</v>
      </c>
      <c r="F288" s="33">
        <f t="shared" si="31"/>
        <v>0</v>
      </c>
      <c r="G288" s="33">
        <f t="shared" si="32"/>
        <v>0</v>
      </c>
      <c r="H288" s="33">
        <f t="shared" si="33"/>
        <v>0</v>
      </c>
    </row>
    <row r="289" spans="1:8" x14ac:dyDescent="0.15">
      <c r="A289" s="21">
        <v>273</v>
      </c>
      <c r="B289" s="33">
        <f t="shared" si="34"/>
        <v>0</v>
      </c>
      <c r="C289" s="33">
        <f t="shared" si="28"/>
        <v>1890.6754069781277</v>
      </c>
      <c r="D289" s="33">
        <f t="shared" si="29"/>
        <v>0</v>
      </c>
      <c r="E289" s="33">
        <f t="shared" si="30"/>
        <v>1890.6754069781277</v>
      </c>
      <c r="F289" s="33">
        <f t="shared" si="31"/>
        <v>0</v>
      </c>
      <c r="G289" s="33">
        <f t="shared" si="32"/>
        <v>0</v>
      </c>
      <c r="H289" s="33">
        <f t="shared" si="33"/>
        <v>0</v>
      </c>
    </row>
    <row r="290" spans="1:8" x14ac:dyDescent="0.15">
      <c r="A290" s="21">
        <v>274</v>
      </c>
      <c r="B290" s="33">
        <f t="shared" si="34"/>
        <v>0</v>
      </c>
      <c r="C290" s="33">
        <f t="shared" si="28"/>
        <v>1890.6754069781277</v>
      </c>
      <c r="D290" s="33">
        <f t="shared" si="29"/>
        <v>0</v>
      </c>
      <c r="E290" s="33">
        <f t="shared" si="30"/>
        <v>1890.6754069781277</v>
      </c>
      <c r="F290" s="33">
        <f t="shared" si="31"/>
        <v>0</v>
      </c>
      <c r="G290" s="33">
        <f t="shared" si="32"/>
        <v>0</v>
      </c>
      <c r="H290" s="33">
        <f t="shared" si="33"/>
        <v>0</v>
      </c>
    </row>
    <row r="291" spans="1:8" x14ac:dyDescent="0.15">
      <c r="A291" s="21">
        <v>275</v>
      </c>
      <c r="B291" s="33">
        <f t="shared" si="34"/>
        <v>0</v>
      </c>
      <c r="C291" s="33">
        <f t="shared" si="28"/>
        <v>1890.6754069781277</v>
      </c>
      <c r="D291" s="33">
        <f t="shared" si="29"/>
        <v>0</v>
      </c>
      <c r="E291" s="33">
        <f t="shared" si="30"/>
        <v>1890.6754069781277</v>
      </c>
      <c r="F291" s="33">
        <f t="shared" si="31"/>
        <v>0</v>
      </c>
      <c r="G291" s="33">
        <f t="shared" si="32"/>
        <v>0</v>
      </c>
      <c r="H291" s="33">
        <f t="shared" si="33"/>
        <v>0</v>
      </c>
    </row>
    <row r="292" spans="1:8" x14ac:dyDescent="0.15">
      <c r="A292" s="21">
        <v>276</v>
      </c>
      <c r="B292" s="33">
        <f t="shared" si="34"/>
        <v>0</v>
      </c>
      <c r="C292" s="33">
        <f t="shared" si="28"/>
        <v>1890.6754069781277</v>
      </c>
      <c r="D292" s="33">
        <f t="shared" si="29"/>
        <v>0</v>
      </c>
      <c r="E292" s="33">
        <f t="shared" si="30"/>
        <v>1890.6754069781277</v>
      </c>
      <c r="F292" s="33">
        <f t="shared" si="31"/>
        <v>0</v>
      </c>
      <c r="G292" s="33">
        <f t="shared" si="32"/>
        <v>0</v>
      </c>
      <c r="H292" s="33">
        <f t="shared" si="33"/>
        <v>0</v>
      </c>
    </row>
    <row r="293" spans="1:8" x14ac:dyDescent="0.15">
      <c r="A293" s="21">
        <v>277</v>
      </c>
      <c r="B293" s="33">
        <f t="shared" si="34"/>
        <v>0</v>
      </c>
      <c r="C293" s="33">
        <f t="shared" si="28"/>
        <v>1890.6754069781277</v>
      </c>
      <c r="D293" s="33">
        <f t="shared" si="29"/>
        <v>0</v>
      </c>
      <c r="E293" s="33">
        <f t="shared" si="30"/>
        <v>1890.6754069781277</v>
      </c>
      <c r="F293" s="33">
        <f t="shared" si="31"/>
        <v>0</v>
      </c>
      <c r="G293" s="33">
        <f t="shared" si="32"/>
        <v>0</v>
      </c>
      <c r="H293" s="33">
        <f t="shared" si="33"/>
        <v>0</v>
      </c>
    </row>
    <row r="294" spans="1:8" x14ac:dyDescent="0.15">
      <c r="A294" s="21">
        <v>278</v>
      </c>
      <c r="B294" s="33">
        <f t="shared" si="34"/>
        <v>0</v>
      </c>
      <c r="C294" s="33">
        <f t="shared" si="28"/>
        <v>1890.6754069781277</v>
      </c>
      <c r="D294" s="33">
        <f t="shared" si="29"/>
        <v>0</v>
      </c>
      <c r="E294" s="33">
        <f t="shared" si="30"/>
        <v>1890.6754069781277</v>
      </c>
      <c r="F294" s="33">
        <f t="shared" si="31"/>
        <v>0</v>
      </c>
      <c r="G294" s="33">
        <f t="shared" si="32"/>
        <v>0</v>
      </c>
      <c r="H294" s="33">
        <f t="shared" si="33"/>
        <v>0</v>
      </c>
    </row>
    <row r="295" spans="1:8" x14ac:dyDescent="0.15">
      <c r="A295" s="21">
        <v>279</v>
      </c>
      <c r="B295" s="33">
        <f t="shared" si="34"/>
        <v>0</v>
      </c>
      <c r="C295" s="33">
        <f t="shared" si="28"/>
        <v>1890.6754069781277</v>
      </c>
      <c r="D295" s="33">
        <f t="shared" si="29"/>
        <v>0</v>
      </c>
      <c r="E295" s="33">
        <f t="shared" si="30"/>
        <v>1890.6754069781277</v>
      </c>
      <c r="F295" s="33">
        <f t="shared" si="31"/>
        <v>0</v>
      </c>
      <c r="G295" s="33">
        <f t="shared" si="32"/>
        <v>0</v>
      </c>
      <c r="H295" s="33">
        <f t="shared" si="33"/>
        <v>0</v>
      </c>
    </row>
    <row r="296" spans="1:8" x14ac:dyDescent="0.15">
      <c r="A296" s="21">
        <v>280</v>
      </c>
      <c r="B296" s="33">
        <f t="shared" si="34"/>
        <v>0</v>
      </c>
      <c r="C296" s="33">
        <f t="shared" si="28"/>
        <v>1890.6754069781277</v>
      </c>
      <c r="D296" s="33">
        <f t="shared" si="29"/>
        <v>0</v>
      </c>
      <c r="E296" s="33">
        <f t="shared" si="30"/>
        <v>1890.6754069781277</v>
      </c>
      <c r="F296" s="33">
        <f t="shared" si="31"/>
        <v>0</v>
      </c>
      <c r="G296" s="33">
        <f t="shared" si="32"/>
        <v>0</v>
      </c>
      <c r="H296" s="33">
        <f t="shared" si="33"/>
        <v>0</v>
      </c>
    </row>
    <row r="297" spans="1:8" x14ac:dyDescent="0.15">
      <c r="A297" s="21">
        <v>281</v>
      </c>
      <c r="B297" s="33">
        <f t="shared" si="34"/>
        <v>0</v>
      </c>
      <c r="C297" s="33">
        <f t="shared" si="28"/>
        <v>1890.6754069781277</v>
      </c>
      <c r="D297" s="33">
        <f t="shared" si="29"/>
        <v>0</v>
      </c>
      <c r="E297" s="33">
        <f t="shared" si="30"/>
        <v>1890.6754069781277</v>
      </c>
      <c r="F297" s="33">
        <f t="shared" si="31"/>
        <v>0</v>
      </c>
      <c r="G297" s="33">
        <f t="shared" si="32"/>
        <v>0</v>
      </c>
      <c r="H297" s="33">
        <f t="shared" si="33"/>
        <v>0</v>
      </c>
    </row>
    <row r="298" spans="1:8" x14ac:dyDescent="0.15">
      <c r="A298" s="21">
        <v>282</v>
      </c>
      <c r="B298" s="33">
        <f t="shared" si="34"/>
        <v>0</v>
      </c>
      <c r="C298" s="33">
        <f t="shared" si="28"/>
        <v>1890.6754069781277</v>
      </c>
      <c r="D298" s="33">
        <f t="shared" si="29"/>
        <v>0</v>
      </c>
      <c r="E298" s="33">
        <f t="shared" si="30"/>
        <v>1890.6754069781277</v>
      </c>
      <c r="F298" s="33">
        <f t="shared" si="31"/>
        <v>0</v>
      </c>
      <c r="G298" s="33">
        <f t="shared" si="32"/>
        <v>0</v>
      </c>
      <c r="H298" s="33">
        <f t="shared" si="33"/>
        <v>0</v>
      </c>
    </row>
    <row r="299" spans="1:8" x14ac:dyDescent="0.15">
      <c r="A299" s="21">
        <v>283</v>
      </c>
      <c r="B299" s="33">
        <f t="shared" si="34"/>
        <v>0</v>
      </c>
      <c r="C299" s="33">
        <f t="shared" si="28"/>
        <v>1890.6754069781277</v>
      </c>
      <c r="D299" s="33">
        <f t="shared" si="29"/>
        <v>0</v>
      </c>
      <c r="E299" s="33">
        <f t="shared" si="30"/>
        <v>1890.6754069781277</v>
      </c>
      <c r="F299" s="33">
        <f t="shared" si="31"/>
        <v>0</v>
      </c>
      <c r="G299" s="33">
        <f t="shared" si="32"/>
        <v>0</v>
      </c>
      <c r="H299" s="33">
        <f t="shared" si="33"/>
        <v>0</v>
      </c>
    </row>
    <row r="300" spans="1:8" x14ac:dyDescent="0.15">
      <c r="A300" s="21">
        <v>284</v>
      </c>
      <c r="B300" s="33">
        <f t="shared" si="34"/>
        <v>0</v>
      </c>
      <c r="C300" s="33">
        <f t="shared" si="28"/>
        <v>1890.6754069781277</v>
      </c>
      <c r="D300" s="33">
        <f t="shared" si="29"/>
        <v>0</v>
      </c>
      <c r="E300" s="33">
        <f t="shared" si="30"/>
        <v>1890.6754069781277</v>
      </c>
      <c r="F300" s="33">
        <f t="shared" si="31"/>
        <v>0</v>
      </c>
      <c r="G300" s="33">
        <f t="shared" si="32"/>
        <v>0</v>
      </c>
      <c r="H300" s="33">
        <f t="shared" si="33"/>
        <v>0</v>
      </c>
    </row>
    <row r="301" spans="1:8" x14ac:dyDescent="0.15">
      <c r="A301" s="21">
        <v>285</v>
      </c>
      <c r="B301" s="33">
        <f t="shared" si="34"/>
        <v>0</v>
      </c>
      <c r="C301" s="33">
        <f t="shared" si="28"/>
        <v>1890.6754069781277</v>
      </c>
      <c r="D301" s="33">
        <f t="shared" si="29"/>
        <v>0</v>
      </c>
      <c r="E301" s="33">
        <f t="shared" si="30"/>
        <v>1890.6754069781277</v>
      </c>
      <c r="F301" s="33">
        <f t="shared" si="31"/>
        <v>0</v>
      </c>
      <c r="G301" s="33">
        <f t="shared" si="32"/>
        <v>0</v>
      </c>
      <c r="H301" s="33">
        <f t="shared" si="33"/>
        <v>0</v>
      </c>
    </row>
    <row r="302" spans="1:8" x14ac:dyDescent="0.15">
      <c r="A302" s="21">
        <v>286</v>
      </c>
      <c r="B302" s="33">
        <f t="shared" si="34"/>
        <v>0</v>
      </c>
      <c r="C302" s="33">
        <f t="shared" si="28"/>
        <v>1890.6754069781277</v>
      </c>
      <c r="D302" s="33">
        <f t="shared" si="29"/>
        <v>0</v>
      </c>
      <c r="E302" s="33">
        <f t="shared" si="30"/>
        <v>1890.6754069781277</v>
      </c>
      <c r="F302" s="33">
        <f t="shared" si="31"/>
        <v>0</v>
      </c>
      <c r="G302" s="33">
        <f t="shared" si="32"/>
        <v>0</v>
      </c>
      <c r="H302" s="33">
        <f t="shared" si="33"/>
        <v>0</v>
      </c>
    </row>
    <row r="303" spans="1:8" x14ac:dyDescent="0.15">
      <c r="A303" s="21">
        <v>287</v>
      </c>
      <c r="B303" s="33">
        <f t="shared" si="34"/>
        <v>0</v>
      </c>
      <c r="C303" s="33">
        <f t="shared" si="28"/>
        <v>1890.6754069781277</v>
      </c>
      <c r="D303" s="33">
        <f t="shared" si="29"/>
        <v>0</v>
      </c>
      <c r="E303" s="33">
        <f t="shared" si="30"/>
        <v>1890.6754069781277</v>
      </c>
      <c r="F303" s="33">
        <f t="shared" si="31"/>
        <v>0</v>
      </c>
      <c r="G303" s="33">
        <f t="shared" si="32"/>
        <v>0</v>
      </c>
      <c r="H303" s="33">
        <f t="shared" si="33"/>
        <v>0</v>
      </c>
    </row>
    <row r="304" spans="1:8" x14ac:dyDescent="0.15">
      <c r="A304" s="21">
        <v>288</v>
      </c>
      <c r="B304" s="33">
        <f t="shared" si="34"/>
        <v>0</v>
      </c>
      <c r="C304" s="33">
        <f t="shared" si="28"/>
        <v>1890.6754069781277</v>
      </c>
      <c r="D304" s="33">
        <f t="shared" si="29"/>
        <v>0</v>
      </c>
      <c r="E304" s="33">
        <f t="shared" si="30"/>
        <v>1890.6754069781277</v>
      </c>
      <c r="F304" s="33">
        <f t="shared" si="31"/>
        <v>0</v>
      </c>
      <c r="G304" s="33">
        <f t="shared" si="32"/>
        <v>0</v>
      </c>
      <c r="H304" s="33">
        <f t="shared" si="33"/>
        <v>0</v>
      </c>
    </row>
    <row r="305" spans="1:12" x14ac:dyDescent="0.15">
      <c r="A305" s="21">
        <v>289</v>
      </c>
      <c r="B305" s="33">
        <f t="shared" si="34"/>
        <v>0</v>
      </c>
      <c r="C305" s="33">
        <f t="shared" si="28"/>
        <v>1890.6754069781277</v>
      </c>
      <c r="D305" s="33">
        <f t="shared" si="29"/>
        <v>0</v>
      </c>
      <c r="E305" s="33">
        <f t="shared" si="30"/>
        <v>1890.6754069781277</v>
      </c>
      <c r="F305" s="33">
        <f t="shared" si="31"/>
        <v>0</v>
      </c>
      <c r="G305" s="33">
        <f t="shared" si="32"/>
        <v>0</v>
      </c>
      <c r="H305" s="33">
        <f t="shared" si="33"/>
        <v>0</v>
      </c>
      <c r="I305" s="21"/>
      <c r="J305" s="21"/>
      <c r="K305" s="21"/>
      <c r="L305" s="21"/>
    </row>
    <row r="306" spans="1:12" x14ac:dyDescent="0.15">
      <c r="A306" s="21">
        <v>290</v>
      </c>
      <c r="B306" s="33">
        <f t="shared" si="34"/>
        <v>0</v>
      </c>
      <c r="C306" s="33">
        <f t="shared" si="28"/>
        <v>1890.6754069781277</v>
      </c>
      <c r="D306" s="33">
        <f t="shared" si="29"/>
        <v>0</v>
      </c>
      <c r="E306" s="33">
        <f t="shared" si="30"/>
        <v>1890.6754069781277</v>
      </c>
      <c r="F306" s="33">
        <f t="shared" si="31"/>
        <v>0</v>
      </c>
      <c r="G306" s="33">
        <f t="shared" si="32"/>
        <v>0</v>
      </c>
      <c r="H306" s="33">
        <f t="shared" si="33"/>
        <v>0</v>
      </c>
      <c r="I306" s="21"/>
      <c r="J306" s="21"/>
      <c r="K306" s="21"/>
      <c r="L306" s="21"/>
    </row>
    <row r="307" spans="1:12" x14ac:dyDescent="0.15">
      <c r="A307" s="21">
        <v>291</v>
      </c>
      <c r="B307" s="33">
        <f t="shared" si="34"/>
        <v>0</v>
      </c>
      <c r="C307" s="33">
        <f t="shared" si="28"/>
        <v>1890.6754069781277</v>
      </c>
      <c r="D307" s="33">
        <f t="shared" si="29"/>
        <v>0</v>
      </c>
      <c r="E307" s="33">
        <f t="shared" si="30"/>
        <v>1890.6754069781277</v>
      </c>
      <c r="F307" s="33">
        <f t="shared" si="31"/>
        <v>0</v>
      </c>
      <c r="G307" s="33">
        <f t="shared" si="32"/>
        <v>0</v>
      </c>
      <c r="H307" s="33">
        <f t="shared" si="33"/>
        <v>0</v>
      </c>
      <c r="I307" s="21"/>
      <c r="J307" s="21"/>
      <c r="K307" s="21"/>
      <c r="L307" s="21"/>
    </row>
    <row r="308" spans="1:12" x14ac:dyDescent="0.15">
      <c r="A308" s="21">
        <v>292</v>
      </c>
      <c r="B308" s="33">
        <f t="shared" si="34"/>
        <v>0</v>
      </c>
      <c r="C308" s="33">
        <f t="shared" si="28"/>
        <v>1890.6754069781277</v>
      </c>
      <c r="D308" s="33">
        <f t="shared" si="29"/>
        <v>0</v>
      </c>
      <c r="E308" s="33">
        <f t="shared" si="30"/>
        <v>1890.6754069781277</v>
      </c>
      <c r="F308" s="33">
        <f t="shared" si="31"/>
        <v>0</v>
      </c>
      <c r="G308" s="33">
        <f t="shared" si="32"/>
        <v>0</v>
      </c>
      <c r="H308" s="33">
        <f t="shared" si="33"/>
        <v>0</v>
      </c>
      <c r="I308" s="21"/>
      <c r="J308" s="21"/>
      <c r="K308" s="21"/>
      <c r="L308" s="21"/>
    </row>
    <row r="309" spans="1:12" x14ac:dyDescent="0.15">
      <c r="A309" s="21">
        <v>293</v>
      </c>
      <c r="B309" s="33">
        <f t="shared" si="34"/>
        <v>0</v>
      </c>
      <c r="C309" s="33">
        <f t="shared" si="28"/>
        <v>1890.6754069781277</v>
      </c>
      <c r="D309" s="33">
        <f t="shared" si="29"/>
        <v>0</v>
      </c>
      <c r="E309" s="33">
        <f t="shared" si="30"/>
        <v>1890.6754069781277</v>
      </c>
      <c r="F309" s="33">
        <f t="shared" si="31"/>
        <v>0</v>
      </c>
      <c r="G309" s="33">
        <f t="shared" si="32"/>
        <v>0</v>
      </c>
      <c r="H309" s="33">
        <f t="shared" si="33"/>
        <v>0</v>
      </c>
      <c r="I309" s="21"/>
      <c r="J309" s="21"/>
      <c r="K309" s="21"/>
      <c r="L309" s="21"/>
    </row>
    <row r="310" spans="1:12" x14ac:dyDescent="0.15">
      <c r="A310" s="21">
        <v>294</v>
      </c>
      <c r="B310" s="33">
        <f t="shared" si="34"/>
        <v>0</v>
      </c>
      <c r="C310" s="33">
        <f t="shared" si="28"/>
        <v>1890.6754069781277</v>
      </c>
      <c r="D310" s="33">
        <f t="shared" si="29"/>
        <v>0</v>
      </c>
      <c r="E310" s="33">
        <f t="shared" si="30"/>
        <v>1890.6754069781277</v>
      </c>
      <c r="F310" s="33">
        <f t="shared" si="31"/>
        <v>0</v>
      </c>
      <c r="G310" s="33">
        <f t="shared" si="32"/>
        <v>0</v>
      </c>
      <c r="H310" s="33">
        <f t="shared" si="33"/>
        <v>0</v>
      </c>
      <c r="I310" s="21"/>
      <c r="J310" s="21"/>
      <c r="K310" s="21"/>
      <c r="L310" s="21"/>
    </row>
    <row r="311" spans="1:12" x14ac:dyDescent="0.15">
      <c r="A311" s="21">
        <v>295</v>
      </c>
      <c r="B311" s="33">
        <f t="shared" si="34"/>
        <v>0</v>
      </c>
      <c r="C311" s="33">
        <f t="shared" si="28"/>
        <v>1890.6754069781277</v>
      </c>
      <c r="D311" s="33">
        <f t="shared" si="29"/>
        <v>0</v>
      </c>
      <c r="E311" s="33">
        <f t="shared" si="30"/>
        <v>1890.6754069781277</v>
      </c>
      <c r="F311" s="33">
        <f t="shared" si="31"/>
        <v>0</v>
      </c>
      <c r="G311" s="33">
        <f t="shared" si="32"/>
        <v>0</v>
      </c>
      <c r="H311" s="33">
        <f t="shared" si="33"/>
        <v>0</v>
      </c>
      <c r="I311" s="21"/>
      <c r="J311" s="21"/>
      <c r="K311" s="21"/>
      <c r="L311" s="21"/>
    </row>
    <row r="312" spans="1:12" x14ac:dyDescent="0.15">
      <c r="A312" s="21">
        <v>296</v>
      </c>
      <c r="B312" s="33">
        <f t="shared" si="34"/>
        <v>0</v>
      </c>
      <c r="C312" s="33">
        <f t="shared" si="28"/>
        <v>1890.6754069781277</v>
      </c>
      <c r="D312" s="33">
        <f t="shared" si="29"/>
        <v>0</v>
      </c>
      <c r="E312" s="33">
        <f t="shared" si="30"/>
        <v>1890.6754069781277</v>
      </c>
      <c r="F312" s="33">
        <f t="shared" si="31"/>
        <v>0</v>
      </c>
      <c r="G312" s="33">
        <f t="shared" si="32"/>
        <v>0</v>
      </c>
      <c r="H312" s="33">
        <f t="shared" si="33"/>
        <v>0</v>
      </c>
      <c r="I312" s="21"/>
      <c r="J312" s="21"/>
      <c r="K312" s="21"/>
      <c r="L312" s="21"/>
    </row>
    <row r="313" spans="1:12" x14ac:dyDescent="0.15">
      <c r="A313" s="21">
        <v>297</v>
      </c>
      <c r="B313" s="33">
        <f t="shared" si="34"/>
        <v>0</v>
      </c>
      <c r="C313" s="33">
        <f t="shared" si="28"/>
        <v>1890.6754069781277</v>
      </c>
      <c r="D313" s="33">
        <f t="shared" si="29"/>
        <v>0</v>
      </c>
      <c r="E313" s="33">
        <f t="shared" si="30"/>
        <v>1890.6754069781277</v>
      </c>
      <c r="F313" s="33">
        <f t="shared" si="31"/>
        <v>0</v>
      </c>
      <c r="G313" s="33">
        <f t="shared" si="32"/>
        <v>0</v>
      </c>
      <c r="H313" s="33">
        <f t="shared" si="33"/>
        <v>0</v>
      </c>
      <c r="I313" s="21"/>
      <c r="J313" s="21"/>
      <c r="K313" s="21"/>
      <c r="L313" s="21"/>
    </row>
    <row r="314" spans="1:12" x14ac:dyDescent="0.15">
      <c r="A314" s="21">
        <v>298</v>
      </c>
      <c r="B314" s="33">
        <f t="shared" si="34"/>
        <v>0</v>
      </c>
      <c r="C314" s="33">
        <f t="shared" si="28"/>
        <v>1890.6754069781277</v>
      </c>
      <c r="D314" s="33">
        <f t="shared" si="29"/>
        <v>0</v>
      </c>
      <c r="E314" s="33">
        <f t="shared" si="30"/>
        <v>1890.6754069781277</v>
      </c>
      <c r="F314" s="33">
        <f t="shared" si="31"/>
        <v>0</v>
      </c>
      <c r="G314" s="33">
        <f t="shared" si="32"/>
        <v>0</v>
      </c>
      <c r="H314" s="33">
        <f t="shared" si="33"/>
        <v>0</v>
      </c>
      <c r="I314" s="21"/>
      <c r="J314" s="21"/>
      <c r="K314" s="21"/>
      <c r="L314" s="21"/>
    </row>
    <row r="315" spans="1:12" x14ac:dyDescent="0.15">
      <c r="A315" s="21">
        <v>299</v>
      </c>
      <c r="B315" s="33">
        <f t="shared" si="34"/>
        <v>0</v>
      </c>
      <c r="C315" s="33">
        <f t="shared" si="28"/>
        <v>1890.6754069781277</v>
      </c>
      <c r="D315" s="33">
        <f t="shared" si="29"/>
        <v>0</v>
      </c>
      <c r="E315" s="33">
        <f t="shared" si="30"/>
        <v>1890.6754069781277</v>
      </c>
      <c r="F315" s="33">
        <f t="shared" si="31"/>
        <v>0</v>
      </c>
      <c r="G315" s="33">
        <f t="shared" si="32"/>
        <v>0</v>
      </c>
      <c r="H315" s="33">
        <f t="shared" si="33"/>
        <v>0</v>
      </c>
      <c r="I315" s="21"/>
      <c r="J315" s="21"/>
      <c r="K315" s="21"/>
      <c r="L315" s="21"/>
    </row>
    <row r="316" spans="1:12" x14ac:dyDescent="0.15">
      <c r="A316" s="21">
        <v>300</v>
      </c>
      <c r="B316" s="33">
        <f t="shared" si="34"/>
        <v>0</v>
      </c>
      <c r="C316" s="33">
        <f t="shared" si="28"/>
        <v>1890.6754069781277</v>
      </c>
      <c r="D316" s="33">
        <f t="shared" si="29"/>
        <v>0</v>
      </c>
      <c r="E316" s="33">
        <f t="shared" si="30"/>
        <v>1890.6754069781277</v>
      </c>
      <c r="F316" s="33">
        <f t="shared" si="31"/>
        <v>0</v>
      </c>
      <c r="G316" s="33">
        <f t="shared" si="32"/>
        <v>0</v>
      </c>
      <c r="H316" s="33">
        <f t="shared" si="33"/>
        <v>0</v>
      </c>
      <c r="I316" s="21"/>
      <c r="J316" s="21"/>
      <c r="K316" s="21"/>
      <c r="L316" s="21"/>
    </row>
    <row r="317" spans="1:12" x14ac:dyDescent="0.15">
      <c r="A317" s="21"/>
      <c r="B317" s="21"/>
      <c r="C317" s="21"/>
      <c r="D317" s="21"/>
      <c r="E317" s="21"/>
      <c r="F317" s="21"/>
      <c r="G317" s="21"/>
      <c r="H317" s="21"/>
      <c r="I317" s="21"/>
      <c r="J317" s="21"/>
      <c r="K317" s="21"/>
      <c r="L317" s="21"/>
    </row>
    <row r="318" spans="1:12" ht="16.5" customHeight="1" x14ac:dyDescent="0.15">
      <c r="A318" s="97" t="s">
        <v>75</v>
      </c>
      <c r="B318" s="97"/>
      <c r="C318" s="97"/>
      <c r="D318" s="97"/>
      <c r="E318" s="97"/>
      <c r="F318" s="97"/>
      <c r="G318" s="97"/>
      <c r="H318" s="97"/>
      <c r="I318" s="97"/>
      <c r="J318" s="97"/>
      <c r="K318" s="97"/>
      <c r="L318" s="97"/>
    </row>
    <row r="319" spans="1:12" ht="13.5" customHeight="1" x14ac:dyDescent="0.15">
      <c r="A319" s="98" t="s">
        <v>142</v>
      </c>
      <c r="B319" s="98"/>
      <c r="C319" s="98"/>
      <c r="D319" s="98"/>
      <c r="E319" s="98"/>
      <c r="F319" s="98"/>
      <c r="G319" s="98"/>
      <c r="H319" s="98"/>
      <c r="I319" s="98"/>
      <c r="J319" s="98"/>
      <c r="K319" s="98"/>
      <c r="L319" s="98"/>
    </row>
    <row r="320" spans="1:12" x14ac:dyDescent="0.15">
      <c r="A320" s="98"/>
      <c r="B320" s="98"/>
      <c r="C320" s="98"/>
      <c r="D320" s="98"/>
      <c r="E320" s="98"/>
      <c r="F320" s="98"/>
      <c r="G320" s="98"/>
      <c r="H320" s="98"/>
      <c r="I320" s="98"/>
      <c r="J320" s="98"/>
      <c r="K320" s="98"/>
      <c r="L320" s="98"/>
    </row>
    <row r="321" spans="1:12" x14ac:dyDescent="0.15">
      <c r="A321" s="98"/>
      <c r="B321" s="98"/>
      <c r="C321" s="98"/>
      <c r="D321" s="98"/>
      <c r="E321" s="98"/>
      <c r="F321" s="98"/>
      <c r="G321" s="98"/>
      <c r="H321" s="98"/>
      <c r="I321" s="98"/>
      <c r="J321" s="98"/>
      <c r="K321" s="98"/>
      <c r="L321" s="98"/>
    </row>
    <row r="322" spans="1:12" x14ac:dyDescent="0.15">
      <c r="A322" s="98"/>
      <c r="B322" s="98"/>
      <c r="C322" s="98"/>
      <c r="D322" s="98"/>
      <c r="E322" s="98"/>
      <c r="F322" s="98"/>
      <c r="G322" s="98"/>
      <c r="H322" s="98"/>
      <c r="I322" s="98"/>
      <c r="J322" s="98"/>
      <c r="K322" s="98"/>
      <c r="L322" s="98"/>
    </row>
    <row r="323" spans="1:12" x14ac:dyDescent="0.15">
      <c r="A323" s="98"/>
      <c r="B323" s="98"/>
      <c r="C323" s="98"/>
      <c r="D323" s="98"/>
      <c r="E323" s="98"/>
      <c r="F323" s="98"/>
      <c r="G323" s="98"/>
      <c r="H323" s="98"/>
      <c r="I323" s="98"/>
      <c r="J323" s="98"/>
      <c r="K323" s="98"/>
      <c r="L323" s="98"/>
    </row>
    <row r="324" spans="1:12" x14ac:dyDescent="0.15">
      <c r="A324" s="98"/>
      <c r="B324" s="98"/>
      <c r="C324" s="98"/>
      <c r="D324" s="98"/>
      <c r="E324" s="98"/>
      <c r="F324" s="98"/>
      <c r="G324" s="98"/>
      <c r="H324" s="98"/>
      <c r="I324" s="98"/>
      <c r="J324" s="98"/>
      <c r="K324" s="98"/>
      <c r="L324" s="98"/>
    </row>
    <row r="325" spans="1:12" x14ac:dyDescent="0.15">
      <c r="A325" s="98"/>
      <c r="B325" s="98"/>
      <c r="C325" s="98"/>
      <c r="D325" s="98"/>
      <c r="E325" s="98"/>
      <c r="F325" s="98"/>
      <c r="G325" s="98"/>
      <c r="H325" s="98"/>
      <c r="I325" s="98"/>
      <c r="J325" s="98"/>
      <c r="K325" s="98"/>
      <c r="L325" s="98"/>
    </row>
    <row r="326" spans="1:12" x14ac:dyDescent="0.15">
      <c r="A326" s="98"/>
      <c r="B326" s="98"/>
      <c r="C326" s="98"/>
      <c r="D326" s="98"/>
      <c r="E326" s="98"/>
      <c r="F326" s="98"/>
      <c r="G326" s="98"/>
      <c r="H326" s="98"/>
      <c r="I326" s="98"/>
      <c r="J326" s="98"/>
      <c r="K326" s="98"/>
      <c r="L326" s="98"/>
    </row>
    <row r="327" spans="1:12" x14ac:dyDescent="0.15">
      <c r="A327" s="98"/>
      <c r="B327" s="98"/>
      <c r="C327" s="98"/>
      <c r="D327" s="98"/>
      <c r="E327" s="98"/>
      <c r="F327" s="98"/>
      <c r="G327" s="98"/>
      <c r="H327" s="98"/>
      <c r="I327" s="98"/>
      <c r="J327" s="98"/>
      <c r="K327" s="98"/>
      <c r="L327" s="98"/>
    </row>
    <row r="328" spans="1:12" x14ac:dyDescent="0.15">
      <c r="A328" s="98"/>
      <c r="B328" s="98"/>
      <c r="C328" s="98"/>
      <c r="D328" s="98"/>
      <c r="E328" s="98"/>
      <c r="F328" s="98"/>
      <c r="G328" s="98"/>
      <c r="H328" s="98"/>
      <c r="I328" s="98"/>
      <c r="J328" s="98"/>
      <c r="K328" s="98"/>
      <c r="L328" s="98"/>
    </row>
    <row r="329" spans="1:12" x14ac:dyDescent="0.15">
      <c r="A329" s="98"/>
      <c r="B329" s="98"/>
      <c r="C329" s="98"/>
      <c r="D329" s="98"/>
      <c r="E329" s="98"/>
      <c r="F329" s="98"/>
      <c r="G329" s="98"/>
      <c r="H329" s="98"/>
      <c r="I329" s="98"/>
      <c r="J329" s="98"/>
      <c r="K329" s="98"/>
      <c r="L329" s="98"/>
    </row>
    <row r="330" spans="1:12" x14ac:dyDescent="0.15">
      <c r="A330" s="98"/>
      <c r="B330" s="98"/>
      <c r="C330" s="98"/>
      <c r="D330" s="98"/>
      <c r="E330" s="98"/>
      <c r="F330" s="98"/>
      <c r="G330" s="98"/>
      <c r="H330" s="98"/>
      <c r="I330" s="98"/>
      <c r="J330" s="98"/>
      <c r="K330" s="98"/>
      <c r="L330" s="98"/>
    </row>
    <row r="331" spans="1:12" x14ac:dyDescent="0.15">
      <c r="A331" s="98"/>
      <c r="B331" s="98"/>
      <c r="C331" s="98"/>
      <c r="D331" s="98"/>
      <c r="E331" s="98"/>
      <c r="F331" s="98"/>
      <c r="G331" s="98"/>
      <c r="H331" s="98"/>
      <c r="I331" s="98"/>
      <c r="J331" s="98"/>
      <c r="K331" s="98"/>
      <c r="L331" s="98"/>
    </row>
  </sheetData>
  <mergeCells count="5">
    <mergeCell ref="A1:L1"/>
    <mergeCell ref="J6:L6"/>
    <mergeCell ref="J7:L13"/>
    <mergeCell ref="A318:L318"/>
    <mergeCell ref="A319:L331"/>
  </mergeCells>
  <pageMargins left="0.7" right="0.7" top="0.75" bottom="0.75" header="0.511811023622047" footer="0.511811023622047"/>
  <pageSetup paperSize="9"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37"/>
  <sheetViews>
    <sheetView showGridLines="0" zoomScaleNormal="100" workbookViewId="0">
      <selection sqref="A1:J1"/>
    </sheetView>
  </sheetViews>
  <sheetFormatPr baseColWidth="10" defaultColWidth="9.1640625" defaultRowHeight="14" x14ac:dyDescent="0.15"/>
  <cols>
    <col min="1" max="1" width="14" style="20" customWidth="1"/>
    <col min="2" max="2" width="18" style="20" customWidth="1"/>
    <col min="3" max="9" width="16" style="20" customWidth="1"/>
    <col min="10" max="10" width="34" style="20" customWidth="1"/>
    <col min="11" max="16384" width="9.1640625" style="20"/>
  </cols>
  <sheetData>
    <row r="1" spans="1:10" ht="24" customHeight="1" x14ac:dyDescent="0.15">
      <c r="A1" s="103" t="s">
        <v>143</v>
      </c>
      <c r="B1" s="103"/>
      <c r="C1" s="103"/>
      <c r="D1" s="103"/>
      <c r="E1" s="103"/>
      <c r="F1" s="103"/>
      <c r="G1" s="103"/>
      <c r="H1" s="103"/>
      <c r="I1" s="103"/>
      <c r="J1" s="103"/>
    </row>
    <row r="2" spans="1:10" x14ac:dyDescent="0.15">
      <c r="A2" s="21"/>
      <c r="B2" s="21"/>
      <c r="C2" s="21"/>
      <c r="D2" s="21"/>
      <c r="E2" s="21"/>
      <c r="F2" s="21"/>
      <c r="G2" s="21"/>
      <c r="H2" s="21"/>
      <c r="I2" s="21"/>
      <c r="J2" s="21"/>
    </row>
    <row r="3" spans="1:10" x14ac:dyDescent="0.15">
      <c r="A3" s="21"/>
      <c r="B3" s="21"/>
      <c r="C3" s="21"/>
      <c r="D3" s="21"/>
      <c r="E3" s="21"/>
      <c r="F3" s="21"/>
      <c r="G3" s="21"/>
      <c r="H3" s="21"/>
      <c r="I3" s="21"/>
      <c r="J3" s="21"/>
    </row>
    <row r="4" spans="1:10" x14ac:dyDescent="0.15">
      <c r="A4" s="21"/>
      <c r="B4" s="21"/>
      <c r="C4" s="21"/>
      <c r="D4" s="21"/>
      <c r="E4" s="21"/>
      <c r="F4" s="21"/>
      <c r="G4" s="21"/>
      <c r="H4" s="21"/>
      <c r="I4" s="21"/>
      <c r="J4" s="21"/>
    </row>
    <row r="5" spans="1:10" ht="16.5" customHeight="1" x14ac:dyDescent="0.15">
      <c r="A5" s="24" t="s">
        <v>144</v>
      </c>
      <c r="B5" s="21"/>
      <c r="C5" s="21"/>
      <c r="D5" s="21"/>
      <c r="E5" s="21"/>
      <c r="F5" s="21"/>
      <c r="G5" s="21"/>
      <c r="H5" s="21"/>
      <c r="I5" s="21"/>
      <c r="J5" s="21"/>
    </row>
    <row r="6" spans="1:10" x14ac:dyDescent="0.15">
      <c r="A6" s="22" t="s">
        <v>145</v>
      </c>
      <c r="B6" s="22" t="s">
        <v>146</v>
      </c>
      <c r="C6" s="22" t="s">
        <v>147</v>
      </c>
      <c r="D6" s="22" t="s">
        <v>148</v>
      </c>
      <c r="E6" s="21"/>
      <c r="F6" s="21"/>
      <c r="G6" s="21"/>
      <c r="H6" s="21"/>
      <c r="I6" s="21"/>
      <c r="J6" s="21"/>
    </row>
    <row r="7" spans="1:10" x14ac:dyDescent="0.15">
      <c r="A7" s="21">
        <v>0.5</v>
      </c>
      <c r="B7" s="58">
        <v>0.98099999999999998</v>
      </c>
      <c r="C7" s="49">
        <f t="shared" ref="C7:C13" si="0">-LN(B7)/A7</f>
        <v>3.8365638833547974E-2</v>
      </c>
      <c r="D7" s="49">
        <f t="shared" ref="D7:D13" si="1">$B$16+$B$15*A7</f>
        <v>3.9307650875518504E-2</v>
      </c>
      <c r="E7" s="21"/>
      <c r="F7" s="21"/>
      <c r="G7" s="21"/>
      <c r="H7" s="21"/>
      <c r="I7" s="21"/>
      <c r="J7" s="21"/>
    </row>
    <row r="8" spans="1:10" x14ac:dyDescent="0.15">
      <c r="A8" s="21">
        <v>1</v>
      </c>
      <c r="B8" s="58">
        <v>0.96079999999999999</v>
      </c>
      <c r="C8" s="49">
        <f t="shared" si="0"/>
        <v>3.9989008216363281E-2</v>
      </c>
      <c r="D8" s="49">
        <f t="shared" si="1"/>
        <v>3.9436649320611035E-2</v>
      </c>
      <c r="E8" s="21"/>
      <c r="F8" s="21"/>
      <c r="G8" s="21"/>
      <c r="H8" s="21"/>
      <c r="I8" s="21"/>
      <c r="J8" s="21"/>
    </row>
    <row r="9" spans="1:10" x14ac:dyDescent="0.15">
      <c r="A9" s="21">
        <v>2</v>
      </c>
      <c r="B9" s="58">
        <v>0.92220000000000002</v>
      </c>
      <c r="C9" s="49">
        <f t="shared" si="0"/>
        <v>4.049657960476593E-2</v>
      </c>
      <c r="D9" s="49">
        <f t="shared" si="1"/>
        <v>3.9694646210796096E-2</v>
      </c>
      <c r="E9" s="21"/>
      <c r="F9" s="21"/>
      <c r="G9" s="21"/>
      <c r="H9" s="21"/>
      <c r="I9" s="21"/>
      <c r="J9" s="21"/>
    </row>
    <row r="10" spans="1:10" x14ac:dyDescent="0.15">
      <c r="A10" s="21">
        <v>3</v>
      </c>
      <c r="B10" s="58">
        <v>0.88690000000000002</v>
      </c>
      <c r="C10" s="49">
        <f t="shared" si="0"/>
        <v>4.0007680866576786E-2</v>
      </c>
      <c r="D10" s="49">
        <f t="shared" si="1"/>
        <v>3.9952643100981157E-2</v>
      </c>
      <c r="E10" s="21"/>
      <c r="F10" s="21"/>
      <c r="G10" s="21"/>
      <c r="H10" s="21"/>
      <c r="I10" s="21"/>
      <c r="J10" s="21"/>
    </row>
    <row r="11" spans="1:10" x14ac:dyDescent="0.15">
      <c r="A11" s="21">
        <v>5</v>
      </c>
      <c r="B11" s="58">
        <v>0.81669999999999998</v>
      </c>
      <c r="C11" s="49">
        <f t="shared" si="0"/>
        <v>4.0496689723581412E-2</v>
      </c>
      <c r="D11" s="49">
        <f t="shared" si="1"/>
        <v>4.0468636881351279E-2</v>
      </c>
      <c r="E11" s="21"/>
      <c r="F11" s="21"/>
      <c r="G11" s="21"/>
      <c r="H11" s="21"/>
      <c r="I11" s="21"/>
      <c r="J11" s="21"/>
    </row>
    <row r="12" spans="1:10" x14ac:dyDescent="0.15">
      <c r="A12" s="21">
        <v>7</v>
      </c>
      <c r="B12" s="58">
        <v>0.75580000000000003</v>
      </c>
      <c r="C12" s="49">
        <f t="shared" si="0"/>
        <v>3.9996926866678342E-2</v>
      </c>
      <c r="D12" s="49">
        <f t="shared" si="1"/>
        <v>4.0984630661721401E-2</v>
      </c>
      <c r="E12" s="21"/>
      <c r="F12" s="21"/>
      <c r="G12" s="21"/>
      <c r="H12" s="21"/>
      <c r="I12" s="21"/>
      <c r="J12" s="21"/>
    </row>
    <row r="13" spans="1:10" x14ac:dyDescent="0.15">
      <c r="A13" s="21">
        <v>10</v>
      </c>
      <c r="B13" s="58">
        <v>0.65539999999999998</v>
      </c>
      <c r="C13" s="49">
        <f t="shared" si="0"/>
        <v>4.2250954271742289E-2</v>
      </c>
      <c r="D13" s="49">
        <f t="shared" si="1"/>
        <v>4.1758621332276584E-2</v>
      </c>
      <c r="E13" s="21"/>
      <c r="F13" s="21"/>
      <c r="G13" s="21"/>
      <c r="H13" s="21"/>
      <c r="I13" s="21"/>
      <c r="J13" s="21"/>
    </row>
    <row r="14" spans="1:10" x14ac:dyDescent="0.15">
      <c r="A14" s="21"/>
      <c r="B14" s="21"/>
      <c r="C14" s="21"/>
      <c r="D14" s="21"/>
      <c r="E14" s="21"/>
      <c r="F14" s="21"/>
      <c r="G14" s="21"/>
      <c r="H14" s="21"/>
      <c r="I14" s="21"/>
      <c r="J14" s="21"/>
    </row>
    <row r="15" spans="1:10" x14ac:dyDescent="0.15">
      <c r="A15" s="21" t="s">
        <v>149</v>
      </c>
      <c r="B15" s="49">
        <f>SLOPE(C7:C13,A7:A13)</f>
        <v>2.5799689018506106E-4</v>
      </c>
      <c r="C15" s="21"/>
      <c r="D15" s="21"/>
      <c r="E15" s="21"/>
      <c r="F15" s="21"/>
      <c r="G15" s="21"/>
      <c r="H15" s="21"/>
      <c r="I15" s="21"/>
      <c r="J15" s="21"/>
    </row>
    <row r="16" spans="1:10" x14ac:dyDescent="0.15">
      <c r="A16" s="21" t="s">
        <v>150</v>
      </c>
      <c r="B16" s="49">
        <f>INTERCEPT(C7:C13,A7:A13)</f>
        <v>3.9178652430425974E-2</v>
      </c>
      <c r="C16" s="21"/>
      <c r="D16" s="21"/>
      <c r="E16" s="21"/>
      <c r="F16" s="21"/>
      <c r="G16" s="21"/>
      <c r="H16" s="21"/>
      <c r="I16" s="21"/>
      <c r="J16" s="21"/>
    </row>
    <row r="17" spans="1:10" x14ac:dyDescent="0.15">
      <c r="A17" s="90" t="s">
        <v>73</v>
      </c>
      <c r="B17" s="90"/>
      <c r="C17" s="90"/>
      <c r="D17" s="90"/>
      <c r="E17" s="21"/>
      <c r="F17" s="21"/>
      <c r="G17" s="21"/>
      <c r="H17" s="21"/>
      <c r="I17" s="21"/>
      <c r="J17" s="21"/>
    </row>
    <row r="18" spans="1:10" ht="14" customHeight="1" x14ac:dyDescent="0.15">
      <c r="A18" s="105" t="s">
        <v>151</v>
      </c>
      <c r="B18" s="105"/>
      <c r="C18" s="105"/>
      <c r="D18" s="105"/>
      <c r="E18" s="21"/>
      <c r="F18" s="21"/>
      <c r="G18" s="21"/>
      <c r="H18" s="21"/>
      <c r="I18" s="21"/>
      <c r="J18" s="21"/>
    </row>
    <row r="19" spans="1:10" x14ac:dyDescent="0.15">
      <c r="A19" s="105"/>
      <c r="B19" s="105"/>
      <c r="C19" s="105"/>
      <c r="D19" s="105"/>
      <c r="E19" s="21"/>
      <c r="F19" s="21"/>
      <c r="G19" s="21"/>
      <c r="H19" s="21"/>
      <c r="I19" s="21"/>
      <c r="J19" s="21"/>
    </row>
    <row r="20" spans="1:10" x14ac:dyDescent="0.15">
      <c r="A20" s="105"/>
      <c r="B20" s="105"/>
      <c r="C20" s="105"/>
      <c r="D20" s="105"/>
      <c r="E20" s="21"/>
      <c r="F20" s="21"/>
      <c r="G20" s="21"/>
      <c r="H20" s="21"/>
      <c r="I20" s="21"/>
      <c r="J20" s="21"/>
    </row>
    <row r="21" spans="1:10" x14ac:dyDescent="0.15">
      <c r="A21" s="105"/>
      <c r="B21" s="105"/>
      <c r="C21" s="105"/>
      <c r="D21" s="105"/>
      <c r="E21" s="21"/>
      <c r="F21" s="21"/>
      <c r="G21" s="21"/>
      <c r="H21" s="21"/>
      <c r="I21" s="21"/>
      <c r="J21" s="21"/>
    </row>
    <row r="22" spans="1:10" x14ac:dyDescent="0.15">
      <c r="A22" s="105"/>
      <c r="B22" s="105"/>
      <c r="C22" s="105"/>
      <c r="D22" s="105"/>
      <c r="E22" s="21"/>
      <c r="F22" s="21"/>
      <c r="G22" s="21"/>
      <c r="H22" s="21"/>
      <c r="I22" s="21"/>
      <c r="J22" s="21"/>
    </row>
    <row r="23" spans="1:10" x14ac:dyDescent="0.15">
      <c r="A23" s="105"/>
      <c r="B23" s="105"/>
      <c r="C23" s="105"/>
      <c r="D23" s="105"/>
      <c r="E23" s="21"/>
      <c r="F23" s="21"/>
      <c r="G23" s="21"/>
      <c r="H23" s="21"/>
      <c r="I23" s="21"/>
      <c r="J23" s="21"/>
    </row>
    <row r="24" spans="1:10" x14ac:dyDescent="0.15">
      <c r="A24" s="105"/>
      <c r="B24" s="105"/>
      <c r="C24" s="105"/>
      <c r="D24" s="105"/>
      <c r="E24" s="21"/>
      <c r="F24" s="21"/>
      <c r="G24" s="21"/>
      <c r="H24" s="21"/>
      <c r="I24" s="21"/>
      <c r="J24" s="21"/>
    </row>
    <row r="25" spans="1:10" x14ac:dyDescent="0.15">
      <c r="A25" s="105"/>
      <c r="B25" s="105"/>
      <c r="C25" s="105"/>
      <c r="D25" s="105"/>
      <c r="E25" s="21"/>
      <c r="F25" s="21"/>
      <c r="G25" s="21"/>
      <c r="H25" s="21"/>
      <c r="I25" s="21"/>
      <c r="J25" s="21"/>
    </row>
    <row r="26" spans="1:10" x14ac:dyDescent="0.15">
      <c r="A26" s="21"/>
      <c r="B26" s="21"/>
      <c r="C26" s="21"/>
      <c r="D26" s="21"/>
      <c r="E26" s="21"/>
      <c r="F26" s="21"/>
      <c r="G26" s="21"/>
      <c r="H26" s="21"/>
      <c r="I26" s="21"/>
      <c r="J26" s="21"/>
    </row>
    <row r="27" spans="1:10" ht="16.5" customHeight="1" x14ac:dyDescent="0.15">
      <c r="A27" s="97" t="s">
        <v>75</v>
      </c>
      <c r="B27" s="97"/>
      <c r="C27" s="97"/>
      <c r="D27" s="97"/>
      <c r="E27" s="97"/>
      <c r="F27" s="97"/>
      <c r="G27" s="97"/>
      <c r="H27" s="97"/>
      <c r="I27" s="97"/>
      <c r="J27" s="97"/>
    </row>
    <row r="28" spans="1:10" ht="13.5" customHeight="1" x14ac:dyDescent="0.15">
      <c r="A28" s="98" t="s">
        <v>152</v>
      </c>
      <c r="B28" s="98"/>
      <c r="C28" s="98"/>
      <c r="D28" s="98"/>
      <c r="E28" s="98"/>
      <c r="F28" s="98"/>
      <c r="G28" s="98"/>
      <c r="H28" s="98"/>
      <c r="I28" s="98"/>
      <c r="J28" s="98"/>
    </row>
    <row r="29" spans="1:10" x14ac:dyDescent="0.15">
      <c r="A29" s="98"/>
      <c r="B29" s="98"/>
      <c r="C29" s="98"/>
      <c r="D29" s="98"/>
      <c r="E29" s="98"/>
      <c r="F29" s="98"/>
      <c r="G29" s="98"/>
      <c r="H29" s="98"/>
      <c r="I29" s="98"/>
      <c r="J29" s="98"/>
    </row>
    <row r="30" spans="1:10" x14ac:dyDescent="0.15">
      <c r="A30" s="98"/>
      <c r="B30" s="98"/>
      <c r="C30" s="98"/>
      <c r="D30" s="98"/>
      <c r="E30" s="98"/>
      <c r="F30" s="98"/>
      <c r="G30" s="98"/>
      <c r="H30" s="98"/>
      <c r="I30" s="98"/>
      <c r="J30" s="98"/>
    </row>
    <row r="31" spans="1:10" x14ac:dyDescent="0.15">
      <c r="A31" s="98"/>
      <c r="B31" s="98"/>
      <c r="C31" s="98"/>
      <c r="D31" s="98"/>
      <c r="E31" s="98"/>
      <c r="F31" s="98"/>
      <c r="G31" s="98"/>
      <c r="H31" s="98"/>
      <c r="I31" s="98"/>
      <c r="J31" s="98"/>
    </row>
    <row r="32" spans="1:10" x14ac:dyDescent="0.15">
      <c r="A32" s="98"/>
      <c r="B32" s="98"/>
      <c r="C32" s="98"/>
      <c r="D32" s="98"/>
      <c r="E32" s="98"/>
      <c r="F32" s="98"/>
      <c r="G32" s="98"/>
      <c r="H32" s="98"/>
      <c r="I32" s="98"/>
      <c r="J32" s="98"/>
    </row>
    <row r="33" spans="1:10" x14ac:dyDescent="0.15">
      <c r="A33" s="98"/>
      <c r="B33" s="98"/>
      <c r="C33" s="98"/>
      <c r="D33" s="98"/>
      <c r="E33" s="98"/>
      <c r="F33" s="98"/>
      <c r="G33" s="98"/>
      <c r="H33" s="98"/>
      <c r="I33" s="98"/>
      <c r="J33" s="98"/>
    </row>
    <row r="34" spans="1:10" x14ac:dyDescent="0.15">
      <c r="A34" s="98"/>
      <c r="B34" s="98"/>
      <c r="C34" s="98"/>
      <c r="D34" s="98"/>
      <c r="E34" s="98"/>
      <c r="F34" s="98"/>
      <c r="G34" s="98"/>
      <c r="H34" s="98"/>
      <c r="I34" s="98"/>
      <c r="J34" s="98"/>
    </row>
    <row r="35" spans="1:10" x14ac:dyDescent="0.15">
      <c r="A35" s="98"/>
      <c r="B35" s="98"/>
      <c r="C35" s="98"/>
      <c r="D35" s="98"/>
      <c r="E35" s="98"/>
      <c r="F35" s="98"/>
      <c r="G35" s="98"/>
      <c r="H35" s="98"/>
      <c r="I35" s="98"/>
      <c r="J35" s="98"/>
    </row>
    <row r="36" spans="1:10" x14ac:dyDescent="0.15">
      <c r="A36" s="98"/>
      <c r="B36" s="98"/>
      <c r="C36" s="98"/>
      <c r="D36" s="98"/>
      <c r="E36" s="98"/>
      <c r="F36" s="98"/>
      <c r="G36" s="98"/>
      <c r="H36" s="98"/>
      <c r="I36" s="98"/>
      <c r="J36" s="98"/>
    </row>
    <row r="37" spans="1:10" x14ac:dyDescent="0.15">
      <c r="A37" s="98"/>
      <c r="B37" s="98"/>
      <c r="C37" s="98"/>
      <c r="D37" s="98"/>
      <c r="E37" s="98"/>
      <c r="F37" s="98"/>
      <c r="G37" s="98"/>
      <c r="H37" s="98"/>
      <c r="I37" s="98"/>
      <c r="J37" s="98"/>
    </row>
  </sheetData>
  <mergeCells count="5">
    <mergeCell ref="A1:J1"/>
    <mergeCell ref="A17:D17"/>
    <mergeCell ref="A18:D25"/>
    <mergeCell ref="A27:J27"/>
    <mergeCell ref="A28:J37"/>
  </mergeCells>
  <pageMargins left="0.7" right="0.7" top="0.75" bottom="0.75" header="0.511811023622047" footer="0.511811023622047"/>
  <pageSetup paperSize="9" orientation="portrait"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37"/>
  <sheetViews>
    <sheetView showGridLines="0" topLeftCell="A17" zoomScaleNormal="100" workbookViewId="0">
      <selection activeCell="A23" sqref="A23:K37"/>
    </sheetView>
  </sheetViews>
  <sheetFormatPr baseColWidth="10" defaultColWidth="9.1640625" defaultRowHeight="14" x14ac:dyDescent="0.15"/>
  <cols>
    <col min="1" max="1" width="21.1640625" style="20" bestFit="1" customWidth="1"/>
    <col min="2" max="10" width="14" style="20" customWidth="1"/>
    <col min="11" max="11" width="32" style="20" customWidth="1"/>
    <col min="12" max="16384" width="9.1640625" style="20"/>
  </cols>
  <sheetData>
    <row r="1" spans="1:11" ht="24" customHeight="1" x14ac:dyDescent="0.15">
      <c r="A1" s="103" t="s">
        <v>153</v>
      </c>
      <c r="B1" s="103"/>
      <c r="C1" s="103"/>
      <c r="D1" s="103"/>
      <c r="E1" s="103"/>
      <c r="F1" s="103"/>
      <c r="G1" s="103"/>
      <c r="H1" s="103"/>
      <c r="I1" s="103"/>
      <c r="J1" s="103"/>
      <c r="K1" s="103"/>
    </row>
    <row r="2" spans="1:11" x14ac:dyDescent="0.15">
      <c r="A2" s="21"/>
      <c r="B2" s="21"/>
      <c r="C2" s="21"/>
      <c r="D2" s="21"/>
      <c r="E2" s="21"/>
      <c r="F2" s="21"/>
      <c r="G2" s="21"/>
      <c r="H2" s="21"/>
      <c r="I2" s="21"/>
      <c r="J2" s="21"/>
      <c r="K2" s="21"/>
    </row>
    <row r="3" spans="1:11" x14ac:dyDescent="0.15">
      <c r="A3" s="21"/>
      <c r="B3" s="21"/>
      <c r="C3" s="21"/>
      <c r="D3" s="21"/>
      <c r="E3" s="21"/>
      <c r="F3" s="21"/>
      <c r="G3" s="21"/>
      <c r="H3" s="21"/>
      <c r="I3" s="21"/>
      <c r="J3" s="21"/>
      <c r="K3" s="21"/>
    </row>
    <row r="4" spans="1:11" x14ac:dyDescent="0.15">
      <c r="A4" s="21"/>
      <c r="B4" s="21"/>
      <c r="C4" s="21"/>
      <c r="D4" s="21"/>
      <c r="E4" s="21"/>
      <c r="F4" s="21"/>
      <c r="G4" s="64" t="s">
        <v>154</v>
      </c>
      <c r="H4" s="64" t="s">
        <v>155</v>
      </c>
      <c r="I4" s="21"/>
      <c r="J4" s="21"/>
      <c r="K4" s="21"/>
    </row>
    <row r="5" spans="1:11" ht="16.5" customHeight="1" x14ac:dyDescent="0.15">
      <c r="A5" s="24" t="s">
        <v>58</v>
      </c>
      <c r="B5" s="21"/>
      <c r="C5" s="21"/>
      <c r="D5" s="22" t="s">
        <v>156</v>
      </c>
      <c r="E5" s="22" t="s">
        <v>157</v>
      </c>
      <c r="F5" s="21"/>
      <c r="G5" s="21">
        <v>0.1</v>
      </c>
      <c r="H5" s="21">
        <f t="shared" ref="H5:H15" si="0">EXP(-$B$8 * $B$9) * ($B$6 * _xlfn.SINGLE(_xlfn.NORM.S.DIST((LN($B$6 / $B$7) + 0.5 * G5 ^ 2 * $B$9) / (G5 * SQRT($B$9)), TRUE())) - $B$7 * _xlfn.SINGLE(_xlfn.NORM.S.DIST((LN($B$6 / $B$7) - 0.5 * G5 ^ 2 * $B$9) / (G5 * SQRT($B$9)), TRUE())))</f>
        <v>4.2424294527287572</v>
      </c>
      <c r="I5" s="21"/>
      <c r="J5" s="21"/>
      <c r="K5" s="21"/>
    </row>
    <row r="6" spans="1:11" x14ac:dyDescent="0.15">
      <c r="A6" s="47" t="s">
        <v>156</v>
      </c>
      <c r="B6" s="62">
        <v>108.2</v>
      </c>
      <c r="C6" s="21"/>
      <c r="D6" s="21">
        <v>100</v>
      </c>
      <c r="E6" s="33">
        <f t="shared" ref="E6:E13" si="1">EXP(-$B$8 * $B$9) * (D6 * _xlfn.SINGLE(_xlfn.NORM.S.DIST((LN(D6 / $B$7) + 0.5 * $B$10 ^ 2 * $B$9) / ($B$10 * SQRT($B$9)), TRUE())) - $B$7 * _xlfn.SINGLE(_xlfn.NORM.S.DIST((LN(D6 / $B$7) - 0.5 * $B$10 ^ 2 * $B$9) / ($B$10 * SQRT($B$9)), TRUE())))</f>
        <v>3.1252304049259245</v>
      </c>
      <c r="F6" s="21"/>
      <c r="G6" s="21">
        <v>0.12</v>
      </c>
      <c r="H6" s="21">
        <f t="shared" si="0"/>
        <v>4.9622022103776038</v>
      </c>
      <c r="I6" s="90" t="s">
        <v>73</v>
      </c>
      <c r="J6" s="90"/>
      <c r="K6" s="90"/>
    </row>
    <row r="7" spans="1:11" ht="13.5" customHeight="1" x14ac:dyDescent="0.15">
      <c r="A7" s="47" t="s">
        <v>158</v>
      </c>
      <c r="B7" s="62">
        <v>107</v>
      </c>
      <c r="C7" s="21"/>
      <c r="D7" s="21">
        <v>102</v>
      </c>
      <c r="E7" s="33">
        <f t="shared" si="1"/>
        <v>3.8574699787814763</v>
      </c>
      <c r="F7" s="21"/>
      <c r="G7" s="21">
        <v>0.14000000000000001</v>
      </c>
      <c r="H7" s="21">
        <f t="shared" si="0"/>
        <v>5.6830728304517191</v>
      </c>
      <c r="I7" s="100" t="s">
        <v>159</v>
      </c>
      <c r="J7" s="100"/>
      <c r="K7" s="100"/>
    </row>
    <row r="8" spans="1:11" x14ac:dyDescent="0.15">
      <c r="A8" s="47" t="s">
        <v>160</v>
      </c>
      <c r="B8" s="63">
        <v>3.2500000000000001E-2</v>
      </c>
      <c r="C8" s="21"/>
      <c r="D8" s="21">
        <v>104</v>
      </c>
      <c r="E8" s="33">
        <f t="shared" si="1"/>
        <v>4.6900396880961157</v>
      </c>
      <c r="F8" s="21"/>
      <c r="G8" s="21">
        <v>0.16</v>
      </c>
      <c r="H8" s="21">
        <f t="shared" si="0"/>
        <v>6.4044546432941196</v>
      </c>
      <c r="I8" s="100"/>
      <c r="J8" s="100"/>
      <c r="K8" s="100"/>
    </row>
    <row r="9" spans="1:11" x14ac:dyDescent="0.15">
      <c r="A9" s="47" t="s">
        <v>161</v>
      </c>
      <c r="B9" s="62">
        <v>0.75</v>
      </c>
      <c r="C9" s="21"/>
      <c r="D9" s="21">
        <v>106</v>
      </c>
      <c r="E9" s="33">
        <f t="shared" si="1"/>
        <v>5.6234542656334607</v>
      </c>
      <c r="F9" s="21"/>
      <c r="G9" s="21">
        <v>0.18</v>
      </c>
      <c r="H9" s="21">
        <f t="shared" si="0"/>
        <v>7.1259970569692017</v>
      </c>
      <c r="I9" s="100"/>
      <c r="J9" s="100"/>
      <c r="K9" s="100"/>
    </row>
    <row r="10" spans="1:11" x14ac:dyDescent="0.15">
      <c r="A10" s="47" t="s">
        <v>154</v>
      </c>
      <c r="B10" s="63">
        <v>0.17</v>
      </c>
      <c r="C10" s="21"/>
      <c r="D10" s="21">
        <v>108</v>
      </c>
      <c r="E10" s="33">
        <f t="shared" si="1"/>
        <v>6.6565268167045026</v>
      </c>
      <c r="F10" s="21"/>
      <c r="G10" s="21">
        <v>0.2</v>
      </c>
      <c r="H10" s="21">
        <f t="shared" si="0"/>
        <v>7.8474679192728729</v>
      </c>
      <c r="I10" s="100"/>
      <c r="J10" s="100"/>
      <c r="K10" s="100"/>
    </row>
    <row r="11" spans="1:11" x14ac:dyDescent="0.15">
      <c r="A11" s="21"/>
      <c r="B11" s="21"/>
      <c r="C11" s="21"/>
      <c r="D11" s="21">
        <v>110</v>
      </c>
      <c r="E11" s="33">
        <f t="shared" si="1"/>
        <v>7.7865197119792784</v>
      </c>
      <c r="F11" s="21"/>
      <c r="G11" s="21">
        <v>0.22</v>
      </c>
      <c r="H11" s="21">
        <f t="shared" si="0"/>
        <v>8.5686998626981943</v>
      </c>
      <c r="I11" s="100"/>
      <c r="J11" s="100"/>
      <c r="K11" s="100"/>
    </row>
    <row r="12" spans="1:11" x14ac:dyDescent="0.15">
      <c r="A12" s="21"/>
      <c r="B12" s="21"/>
      <c r="C12" s="21"/>
      <c r="D12" s="21">
        <v>112</v>
      </c>
      <c r="E12" s="33">
        <f t="shared" si="1"/>
        <v>9.0093545285022909</v>
      </c>
      <c r="F12" s="21"/>
      <c r="G12" s="21">
        <v>0.24</v>
      </c>
      <c r="H12" s="21">
        <f t="shared" si="0"/>
        <v>9.2895634193178118</v>
      </c>
      <c r="I12" s="100"/>
      <c r="J12" s="100"/>
      <c r="K12" s="100"/>
    </row>
    <row r="13" spans="1:11" x14ac:dyDescent="0.15">
      <c r="A13" s="21" t="s">
        <v>162</v>
      </c>
      <c r="B13" s="59">
        <f>(LN(B6/B7)+0.5*B10^2*B9)/(B10*SQRT(B9))</f>
        <v>0.14936412783641498</v>
      </c>
      <c r="C13" s="21"/>
      <c r="D13" s="21">
        <v>114</v>
      </c>
      <c r="E13" s="33">
        <f t="shared" si="1"/>
        <v>10.319860395827538</v>
      </c>
      <c r="F13" s="21"/>
      <c r="G13" s="21">
        <v>0.26</v>
      </c>
      <c r="H13" s="21">
        <f t="shared" si="0"/>
        <v>10.009952525527137</v>
      </c>
      <c r="I13" s="100"/>
      <c r="J13" s="100"/>
      <c r="K13" s="100"/>
    </row>
    <row r="14" spans="1:11" x14ac:dyDescent="0.15">
      <c r="A14" s="21" t="s">
        <v>163</v>
      </c>
      <c r="B14" s="59">
        <f>B13-B10*SQRT(B9)</f>
        <v>2.1398091930603935E-3</v>
      </c>
      <c r="C14" s="21"/>
      <c r="D14" s="21"/>
      <c r="E14" s="21"/>
      <c r="F14" s="21"/>
      <c r="G14" s="21">
        <v>0.28000000000000003</v>
      </c>
      <c r="H14" s="21">
        <f t="shared" si="0"/>
        <v>10.729776233997557</v>
      </c>
      <c r="I14" s="100"/>
      <c r="J14" s="100"/>
      <c r="K14" s="100"/>
    </row>
    <row r="15" spans="1:11" x14ac:dyDescent="0.15">
      <c r="A15" s="21" t="s">
        <v>164</v>
      </c>
      <c r="B15" s="60">
        <f>_xlfn.SINGLE(_xlfn.NORM.S.DIST(B13, TRUE()))</f>
        <v>0.55936684199854514</v>
      </c>
      <c r="C15" s="21"/>
      <c r="D15" s="21"/>
      <c r="E15" s="21"/>
      <c r="F15" s="21"/>
      <c r="G15" s="21">
        <v>0.3</v>
      </c>
      <c r="H15" s="21">
        <f t="shared" si="0"/>
        <v>11.448953740969856</v>
      </c>
      <c r="I15" s="21"/>
      <c r="J15" s="21"/>
      <c r="K15" s="21"/>
    </row>
    <row r="16" spans="1:11" x14ac:dyDescent="0.15">
      <c r="A16" s="21" t="s">
        <v>165</v>
      </c>
      <c r="B16" s="60">
        <f>_xlfn.SINGLE(_xlfn.NORM.S.DIST(B14, TRUE()))</f>
        <v>0.50085365970764961</v>
      </c>
      <c r="C16" s="21"/>
      <c r="D16" s="21"/>
      <c r="E16" s="21"/>
      <c r="F16" s="21"/>
      <c r="G16" s="21"/>
      <c r="H16" s="21"/>
      <c r="I16" s="21"/>
      <c r="J16" s="21"/>
      <c r="K16" s="21"/>
    </row>
    <row r="18" spans="1:11" x14ac:dyDescent="0.15">
      <c r="A18" s="21" t="s">
        <v>157</v>
      </c>
      <c r="B18" s="33">
        <f>EXP(-B8*B9)*(B6*B15-B7*B16)</f>
        <v>6.7652222473723063</v>
      </c>
      <c r="C18" s="21"/>
      <c r="D18" s="21"/>
      <c r="E18" s="21"/>
      <c r="F18" s="21"/>
      <c r="G18" s="21"/>
      <c r="H18" s="21"/>
      <c r="I18" s="21"/>
      <c r="J18" s="21"/>
      <c r="K18" s="21"/>
    </row>
    <row r="19" spans="1:11" x14ac:dyDescent="0.15">
      <c r="A19" s="21" t="s">
        <v>166</v>
      </c>
      <c r="B19" s="33">
        <f>EXP(-B8 * B9) * (B7 * _xlfn.SINGLE(_xlfn.NORM.S.DIST(-B14, TRUE())) - B6 * _xlfn.SINGLE(_xlfn.NORM.S.DIST(-B13, TRUE())))</f>
        <v>5.5941186418683992</v>
      </c>
      <c r="C19" s="21"/>
      <c r="D19" s="21"/>
      <c r="E19" s="21"/>
      <c r="F19" s="21"/>
      <c r="G19" s="21"/>
      <c r="H19" s="21"/>
      <c r="I19" s="21"/>
      <c r="J19" s="21"/>
      <c r="K19" s="21"/>
    </row>
    <row r="20" spans="1:11" x14ac:dyDescent="0.15">
      <c r="A20" s="65" t="s">
        <v>167</v>
      </c>
      <c r="B20" s="21"/>
      <c r="C20" s="21"/>
      <c r="D20" s="21"/>
      <c r="E20" s="21"/>
      <c r="F20" s="21"/>
      <c r="G20" s="21"/>
      <c r="H20" s="21"/>
      <c r="I20" s="21"/>
      <c r="J20" s="21"/>
      <c r="K20" s="21"/>
    </row>
    <row r="21" spans="1:11" x14ac:dyDescent="0.15">
      <c r="A21" s="21" t="s">
        <v>168</v>
      </c>
      <c r="B21" s="61">
        <f>B18-B19</f>
        <v>1.171103605503907</v>
      </c>
      <c r="C21" s="21"/>
      <c r="D21" s="21"/>
      <c r="E21" s="21"/>
      <c r="F21" s="21"/>
      <c r="G21" s="21"/>
      <c r="H21" s="21"/>
      <c r="I21" s="21"/>
      <c r="J21" s="21"/>
      <c r="K21" s="21"/>
    </row>
    <row r="22" spans="1:11" ht="16.5" customHeight="1" x14ac:dyDescent="0.15">
      <c r="A22" s="97" t="s">
        <v>75</v>
      </c>
      <c r="B22" s="97"/>
      <c r="C22" s="97"/>
      <c r="D22" s="97"/>
      <c r="E22" s="97"/>
      <c r="F22" s="97"/>
      <c r="G22" s="97"/>
      <c r="H22" s="97"/>
      <c r="I22" s="97"/>
      <c r="J22" s="97"/>
      <c r="K22" s="97"/>
    </row>
    <row r="23" spans="1:11" ht="13.5" customHeight="1" x14ac:dyDescent="0.15">
      <c r="A23" s="98" t="s">
        <v>169</v>
      </c>
      <c r="B23" s="98"/>
      <c r="C23" s="98"/>
      <c r="D23" s="98"/>
      <c r="E23" s="98"/>
      <c r="F23" s="98"/>
      <c r="G23" s="98"/>
      <c r="H23" s="98"/>
      <c r="I23" s="98"/>
      <c r="J23" s="98"/>
      <c r="K23" s="98"/>
    </row>
    <row r="24" spans="1:11" x14ac:dyDescent="0.15">
      <c r="A24" s="98"/>
      <c r="B24" s="98"/>
      <c r="C24" s="98"/>
      <c r="D24" s="98"/>
      <c r="E24" s="98"/>
      <c r="F24" s="98"/>
      <c r="G24" s="98"/>
      <c r="H24" s="98"/>
      <c r="I24" s="98"/>
      <c r="J24" s="98"/>
      <c r="K24" s="98"/>
    </row>
    <row r="25" spans="1:11" x14ac:dyDescent="0.15">
      <c r="A25" s="98"/>
      <c r="B25" s="98"/>
      <c r="C25" s="98"/>
      <c r="D25" s="98"/>
      <c r="E25" s="98"/>
      <c r="F25" s="98"/>
      <c r="G25" s="98"/>
      <c r="H25" s="98"/>
      <c r="I25" s="98"/>
      <c r="J25" s="98"/>
      <c r="K25" s="98"/>
    </row>
    <row r="26" spans="1:11" x14ac:dyDescent="0.15">
      <c r="A26" s="98"/>
      <c r="B26" s="98"/>
      <c r="C26" s="98"/>
      <c r="D26" s="98"/>
      <c r="E26" s="98"/>
      <c r="F26" s="98"/>
      <c r="G26" s="98"/>
      <c r="H26" s="98"/>
      <c r="I26" s="98"/>
      <c r="J26" s="98"/>
      <c r="K26" s="98"/>
    </row>
    <row r="27" spans="1:11" x14ac:dyDescent="0.15">
      <c r="A27" s="98"/>
      <c r="B27" s="98"/>
      <c r="C27" s="98"/>
      <c r="D27" s="98"/>
      <c r="E27" s="98"/>
      <c r="F27" s="98"/>
      <c r="G27" s="98"/>
      <c r="H27" s="98"/>
      <c r="I27" s="98"/>
      <c r="J27" s="98"/>
      <c r="K27" s="98"/>
    </row>
    <row r="28" spans="1:11" x14ac:dyDescent="0.15">
      <c r="A28" s="98"/>
      <c r="B28" s="98"/>
      <c r="C28" s="98"/>
      <c r="D28" s="98"/>
      <c r="E28" s="98"/>
      <c r="F28" s="98"/>
      <c r="G28" s="98"/>
      <c r="H28" s="98"/>
      <c r="I28" s="98"/>
      <c r="J28" s="98"/>
      <c r="K28" s="98"/>
    </row>
    <row r="29" spans="1:11" x14ac:dyDescent="0.15">
      <c r="A29" s="98"/>
      <c r="B29" s="98"/>
      <c r="C29" s="98"/>
      <c r="D29" s="98"/>
      <c r="E29" s="98"/>
      <c r="F29" s="98"/>
      <c r="G29" s="98"/>
      <c r="H29" s="98"/>
      <c r="I29" s="98"/>
      <c r="J29" s="98"/>
      <c r="K29" s="98"/>
    </row>
    <row r="30" spans="1:11" x14ac:dyDescent="0.15">
      <c r="A30" s="98"/>
      <c r="B30" s="98"/>
      <c r="C30" s="98"/>
      <c r="D30" s="98"/>
      <c r="E30" s="98"/>
      <c r="F30" s="98"/>
      <c r="G30" s="98"/>
      <c r="H30" s="98"/>
      <c r="I30" s="98"/>
      <c r="J30" s="98"/>
      <c r="K30" s="98"/>
    </row>
    <row r="31" spans="1:11" x14ac:dyDescent="0.15">
      <c r="A31" s="98"/>
      <c r="B31" s="98"/>
      <c r="C31" s="98"/>
      <c r="D31" s="98"/>
      <c r="E31" s="98"/>
      <c r="F31" s="98"/>
      <c r="G31" s="98"/>
      <c r="H31" s="98"/>
      <c r="I31" s="98"/>
      <c r="J31" s="98"/>
      <c r="K31" s="98"/>
    </row>
    <row r="32" spans="1:11" x14ac:dyDescent="0.15">
      <c r="A32" s="98"/>
      <c r="B32" s="98"/>
      <c r="C32" s="98"/>
      <c r="D32" s="98"/>
      <c r="E32" s="98"/>
      <c r="F32" s="98"/>
      <c r="G32" s="98"/>
      <c r="H32" s="98"/>
      <c r="I32" s="98"/>
      <c r="J32" s="98"/>
      <c r="K32" s="98"/>
    </row>
    <row r="33" spans="1:11" x14ac:dyDescent="0.15">
      <c r="A33" s="98"/>
      <c r="B33" s="98"/>
      <c r="C33" s="98"/>
      <c r="D33" s="98"/>
      <c r="E33" s="98"/>
      <c r="F33" s="98"/>
      <c r="G33" s="98"/>
      <c r="H33" s="98"/>
      <c r="I33" s="98"/>
      <c r="J33" s="98"/>
      <c r="K33" s="98"/>
    </row>
    <row r="34" spans="1:11" x14ac:dyDescent="0.15">
      <c r="A34" s="98"/>
      <c r="B34" s="98"/>
      <c r="C34" s="98"/>
      <c r="D34" s="98"/>
      <c r="E34" s="98"/>
      <c r="F34" s="98"/>
      <c r="G34" s="98"/>
      <c r="H34" s="98"/>
      <c r="I34" s="98"/>
      <c r="J34" s="98"/>
      <c r="K34" s="98"/>
    </row>
    <row r="35" spans="1:11" x14ac:dyDescent="0.15">
      <c r="A35" s="98"/>
      <c r="B35" s="98"/>
      <c r="C35" s="98"/>
      <c r="D35" s="98"/>
      <c r="E35" s="98"/>
      <c r="F35" s="98"/>
      <c r="G35" s="98"/>
      <c r="H35" s="98"/>
      <c r="I35" s="98"/>
      <c r="J35" s="98"/>
      <c r="K35" s="98"/>
    </row>
    <row r="36" spans="1:11" x14ac:dyDescent="0.15">
      <c r="A36" s="98"/>
      <c r="B36" s="98"/>
      <c r="C36" s="98"/>
      <c r="D36" s="98"/>
      <c r="E36" s="98"/>
      <c r="F36" s="98"/>
      <c r="G36" s="98"/>
      <c r="H36" s="98"/>
      <c r="I36" s="98"/>
      <c r="J36" s="98"/>
      <c r="K36" s="98"/>
    </row>
    <row r="37" spans="1:11" x14ac:dyDescent="0.15">
      <c r="A37" s="98"/>
      <c r="B37" s="98"/>
      <c r="C37" s="98"/>
      <c r="D37" s="98"/>
      <c r="E37" s="98"/>
      <c r="F37" s="98"/>
      <c r="G37" s="98"/>
      <c r="H37" s="98"/>
      <c r="I37" s="98"/>
      <c r="J37" s="98"/>
      <c r="K37" s="98"/>
    </row>
  </sheetData>
  <mergeCells count="5">
    <mergeCell ref="A1:K1"/>
    <mergeCell ref="I6:K6"/>
    <mergeCell ref="I7:K14"/>
    <mergeCell ref="A22:K22"/>
    <mergeCell ref="A23:K37"/>
  </mergeCells>
  <pageMargins left="0.7" right="0.7" top="0.75" bottom="0.75" header="0.511811023622047" footer="0.511811023622047"/>
  <pageSetup paperSize="9" orientation="portrait" horizontalDpi="300" verticalDpi="30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573A1-AEBC-4384-A46D-DBA593802B1C}">
  <sheetPr codeName="Sheet9"/>
  <dimension ref="A1:K252"/>
  <sheetViews>
    <sheetView workbookViewId="0">
      <selection activeCell="J6" sqref="J6"/>
    </sheetView>
  </sheetViews>
  <sheetFormatPr baseColWidth="10" defaultColWidth="8.83203125" defaultRowHeight="15" x14ac:dyDescent="0.2"/>
  <cols>
    <col min="1" max="1" width="10.5" bestFit="1" customWidth="1"/>
  </cols>
  <sheetData>
    <row r="1" spans="1:11" x14ac:dyDescent="0.2">
      <c r="A1" s="15" t="s">
        <v>170</v>
      </c>
      <c r="B1" s="16" t="s">
        <v>171</v>
      </c>
      <c r="C1" s="16" t="s">
        <v>172</v>
      </c>
      <c r="D1" s="16" t="s">
        <v>173</v>
      </c>
      <c r="E1" s="16" t="s">
        <v>174</v>
      </c>
      <c r="F1" s="16" t="s">
        <v>175</v>
      </c>
      <c r="G1" s="16" t="s">
        <v>176</v>
      </c>
      <c r="H1" s="16" t="s">
        <v>177</v>
      </c>
      <c r="I1" s="16" t="s">
        <v>178</v>
      </c>
      <c r="J1" s="16" t="s">
        <v>179</v>
      </c>
      <c r="K1" s="16" t="s">
        <v>180</v>
      </c>
    </row>
    <row r="2" spans="1:11" x14ac:dyDescent="0.2">
      <c r="A2" s="17">
        <v>45072</v>
      </c>
      <c r="B2" s="18">
        <v>1.2011000000000001</v>
      </c>
      <c r="C2" s="18">
        <v>0.11228100000000001</v>
      </c>
      <c r="D2" s="18">
        <v>8.9300000000000004E-2</v>
      </c>
      <c r="E2" s="18">
        <v>0.37887999999999999</v>
      </c>
      <c r="F2" s="18">
        <v>7.6999999999999999E-2</v>
      </c>
      <c r="G2" s="18">
        <v>3.7037E-2</v>
      </c>
      <c r="H2" s="18">
        <v>0.38911499999999999</v>
      </c>
      <c r="I2" s="18">
        <v>6.2E-2</v>
      </c>
      <c r="J2" s="18">
        <v>0.1028</v>
      </c>
      <c r="K2" s="18">
        <v>0.27650000000000002</v>
      </c>
    </row>
    <row r="3" spans="1:11" x14ac:dyDescent="0.2">
      <c r="A3" s="17">
        <v>45076</v>
      </c>
      <c r="B3" s="18">
        <v>1.2165999999999999</v>
      </c>
      <c r="C3" s="18">
        <v>0.113276</v>
      </c>
      <c r="D3" s="18">
        <v>9.4200000000000006E-2</v>
      </c>
      <c r="E3" s="18">
        <v>0.39298</v>
      </c>
      <c r="F3" s="18">
        <v>7.4099999999999999E-2</v>
      </c>
      <c r="G3" s="18">
        <v>3.7037E-2</v>
      </c>
      <c r="H3" s="18">
        <v>0.40075499999999997</v>
      </c>
      <c r="I3" s="18">
        <v>6.1100000000000002E-2</v>
      </c>
      <c r="J3" s="18">
        <v>0.1022</v>
      </c>
      <c r="K3" s="18">
        <v>0.28720000000000001</v>
      </c>
    </row>
    <row r="4" spans="1:11" x14ac:dyDescent="0.2">
      <c r="A4" s="17">
        <v>45077</v>
      </c>
      <c r="B4" s="18">
        <v>1.2058</v>
      </c>
      <c r="C4" s="18">
        <v>0.11178299999999999</v>
      </c>
      <c r="D4" s="18">
        <v>9.7900000000000001E-2</v>
      </c>
      <c r="E4" s="18">
        <v>0.39523000000000003</v>
      </c>
      <c r="F4" s="18">
        <v>7.5300000000000006E-2</v>
      </c>
      <c r="G4" s="18">
        <v>3.6944999999999999E-2</v>
      </c>
      <c r="H4" s="18">
        <v>0.37800499999999998</v>
      </c>
      <c r="I4" s="18">
        <v>5.7200000000000001E-2</v>
      </c>
      <c r="J4" s="18">
        <v>0.10199999999999999</v>
      </c>
      <c r="K4" s="18">
        <v>0.29720000000000002</v>
      </c>
    </row>
    <row r="5" spans="1:11" x14ac:dyDescent="0.2">
      <c r="A5" s="17">
        <v>45078</v>
      </c>
      <c r="B5" s="18">
        <v>1.2277</v>
      </c>
      <c r="C5" s="18">
        <v>0.117955</v>
      </c>
      <c r="D5" s="18">
        <v>9.9900000000000003E-2</v>
      </c>
      <c r="E5" s="18">
        <v>0.40312999999999999</v>
      </c>
      <c r="F5" s="18">
        <v>7.5399999999999995E-2</v>
      </c>
      <c r="G5" s="18">
        <v>3.7312999999999999E-2</v>
      </c>
      <c r="H5" s="18">
        <v>0.39734799999999998</v>
      </c>
      <c r="I5" s="18">
        <v>6.13E-2</v>
      </c>
      <c r="J5" s="18">
        <v>0.1033</v>
      </c>
      <c r="K5" s="18">
        <v>0.30120000000000002</v>
      </c>
    </row>
    <row r="6" spans="1:11" x14ac:dyDescent="0.2">
      <c r="A6" s="17">
        <v>45079</v>
      </c>
      <c r="B6" s="18">
        <v>1.2424999999999999</v>
      </c>
      <c r="C6" s="18">
        <v>0.12124</v>
      </c>
      <c r="D6" s="18">
        <v>0.1003</v>
      </c>
      <c r="E6" s="18">
        <v>0.40046999999999999</v>
      </c>
      <c r="F6" s="18">
        <v>7.5600000000000001E-2</v>
      </c>
      <c r="G6" s="18">
        <v>3.7406000000000002E-2</v>
      </c>
      <c r="H6" s="18">
        <v>0.39292199999999999</v>
      </c>
      <c r="I6" s="18">
        <v>6.5799999999999997E-2</v>
      </c>
      <c r="J6" s="18">
        <v>0.1041</v>
      </c>
      <c r="K6" s="18">
        <v>0.31</v>
      </c>
    </row>
    <row r="7" spans="1:11" x14ac:dyDescent="0.2">
      <c r="A7" s="17">
        <v>45082</v>
      </c>
      <c r="B7" s="18">
        <v>1.2529999999999999</v>
      </c>
      <c r="C7" s="18">
        <v>0.122434</v>
      </c>
      <c r="D7" s="18">
        <v>9.1899999999999996E-2</v>
      </c>
      <c r="E7" s="18">
        <v>0.40354000000000001</v>
      </c>
      <c r="F7" s="18">
        <v>7.6700000000000004E-2</v>
      </c>
      <c r="G7" s="18">
        <v>3.7220999999999997E-2</v>
      </c>
      <c r="H7" s="18">
        <v>0.39136399999999999</v>
      </c>
      <c r="I7" s="18">
        <v>6.3200000000000006E-2</v>
      </c>
      <c r="J7" s="18">
        <v>0.1051</v>
      </c>
      <c r="K7" s="18">
        <v>0.36320000000000002</v>
      </c>
    </row>
    <row r="8" spans="1:11" x14ac:dyDescent="0.2">
      <c r="A8" s="17">
        <v>45083</v>
      </c>
      <c r="B8" s="18">
        <v>1.2661</v>
      </c>
      <c r="C8" s="18">
        <v>0.127112</v>
      </c>
      <c r="D8" s="18">
        <v>0.1008</v>
      </c>
      <c r="E8" s="18">
        <v>0.39928999999999998</v>
      </c>
      <c r="F8" s="18">
        <v>7.8799999999999995E-2</v>
      </c>
      <c r="G8" s="18">
        <v>3.6761000000000002E-2</v>
      </c>
      <c r="H8" s="18">
        <v>0.38619799999999999</v>
      </c>
      <c r="I8" s="18">
        <v>6.3100000000000003E-2</v>
      </c>
      <c r="J8" s="18">
        <v>0.1051</v>
      </c>
      <c r="K8" s="18">
        <v>0.3584</v>
      </c>
    </row>
    <row r="9" spans="1:11" x14ac:dyDescent="0.2">
      <c r="A9" s="17">
        <v>45084</v>
      </c>
      <c r="B9" s="18">
        <v>1.2122999999999999</v>
      </c>
      <c r="C9" s="18">
        <v>0.12970000000000001</v>
      </c>
      <c r="D9" s="18">
        <v>9.5500000000000002E-2</v>
      </c>
      <c r="E9" s="18">
        <v>0.39977000000000001</v>
      </c>
      <c r="F9" s="18">
        <v>7.7600000000000002E-2</v>
      </c>
      <c r="G9" s="18">
        <v>3.7037E-2</v>
      </c>
      <c r="H9" s="18">
        <v>0.37445699999999998</v>
      </c>
      <c r="I9" s="18">
        <v>6.3399999999999998E-2</v>
      </c>
      <c r="J9" s="18">
        <v>0.1019</v>
      </c>
      <c r="K9" s="18">
        <v>0.34720000000000001</v>
      </c>
    </row>
    <row r="10" spans="1:11" x14ac:dyDescent="0.2">
      <c r="A10" s="17">
        <v>45085</v>
      </c>
      <c r="B10" s="18">
        <v>1.2424999999999999</v>
      </c>
      <c r="C10" s="18">
        <v>0.126913</v>
      </c>
      <c r="D10" s="18">
        <v>9.5699999999999993E-2</v>
      </c>
      <c r="E10" s="18">
        <v>0.40937000000000001</v>
      </c>
      <c r="F10" s="18">
        <v>7.7899999999999997E-2</v>
      </c>
      <c r="G10" s="18">
        <v>3.6761000000000002E-2</v>
      </c>
      <c r="H10" s="18">
        <v>0.384799</v>
      </c>
      <c r="I10" s="18">
        <v>6.3E-2</v>
      </c>
      <c r="J10" s="18">
        <v>0.1004</v>
      </c>
      <c r="K10" s="18">
        <v>0.36280000000000001</v>
      </c>
    </row>
    <row r="11" spans="1:11" x14ac:dyDescent="0.2">
      <c r="A11" s="17">
        <v>45086</v>
      </c>
      <c r="B11" s="18">
        <v>1.2343</v>
      </c>
      <c r="C11" s="18">
        <v>0.130298</v>
      </c>
      <c r="D11" s="18">
        <v>9.3799999999999994E-2</v>
      </c>
      <c r="E11" s="18">
        <v>0.42002</v>
      </c>
      <c r="F11" s="18">
        <v>7.7299999999999994E-2</v>
      </c>
      <c r="G11" s="18">
        <v>3.6852999999999997E-2</v>
      </c>
      <c r="H11" s="18">
        <v>0.38739699999999999</v>
      </c>
      <c r="I11" s="18">
        <v>6.2399999999999997E-2</v>
      </c>
      <c r="J11" s="18">
        <v>0.1009</v>
      </c>
      <c r="K11" s="18">
        <v>0.36299999999999999</v>
      </c>
    </row>
    <row r="12" spans="1:11" x14ac:dyDescent="0.2">
      <c r="A12" s="17">
        <v>45089</v>
      </c>
      <c r="B12" s="18">
        <v>1.2657</v>
      </c>
      <c r="C12" s="18">
        <v>0.14652299999999999</v>
      </c>
      <c r="D12" s="18">
        <v>9.3299999999999994E-2</v>
      </c>
      <c r="E12" s="18">
        <v>0.42397000000000001</v>
      </c>
      <c r="F12" s="18">
        <v>8.4000000000000005E-2</v>
      </c>
      <c r="G12" s="18">
        <v>3.7589999999999998E-2</v>
      </c>
      <c r="H12" s="18">
        <v>0.39451199999999997</v>
      </c>
      <c r="I12" s="18">
        <v>5.7099999999999998E-2</v>
      </c>
      <c r="J12" s="18">
        <v>0.1023</v>
      </c>
      <c r="K12" s="18">
        <v>0.3599</v>
      </c>
    </row>
    <row r="13" spans="1:11" x14ac:dyDescent="0.2">
      <c r="A13" s="17">
        <v>45090</v>
      </c>
      <c r="B13" s="18">
        <v>1.2665999999999999</v>
      </c>
      <c r="C13" s="18">
        <v>0.152694</v>
      </c>
      <c r="D13" s="18">
        <v>9.6799999999999997E-2</v>
      </c>
      <c r="E13" s="18">
        <v>0.43573000000000001</v>
      </c>
      <c r="F13" s="18">
        <v>8.8900000000000007E-2</v>
      </c>
      <c r="G13" s="18">
        <v>3.7589999999999998E-2</v>
      </c>
      <c r="H13" s="18">
        <v>0.40989999999999999</v>
      </c>
      <c r="I13" s="18">
        <v>5.8599999999999999E-2</v>
      </c>
      <c r="J13" s="18">
        <v>0.1032</v>
      </c>
      <c r="K13" s="18">
        <v>0.38579999999999998</v>
      </c>
    </row>
    <row r="14" spans="1:11" x14ac:dyDescent="0.2">
      <c r="A14" s="17">
        <v>45091</v>
      </c>
      <c r="B14" s="18">
        <v>1.2642</v>
      </c>
      <c r="C14" s="18">
        <v>0.155282</v>
      </c>
      <c r="D14" s="18">
        <v>9.69E-2</v>
      </c>
      <c r="E14" s="18">
        <v>0.44085999999999997</v>
      </c>
      <c r="F14" s="18">
        <v>9.0499999999999997E-2</v>
      </c>
      <c r="G14" s="18">
        <v>3.8234999999999998E-2</v>
      </c>
      <c r="H14" s="18">
        <v>0.42963400000000002</v>
      </c>
      <c r="I14" s="18">
        <v>6.1600000000000002E-2</v>
      </c>
      <c r="J14" s="18">
        <v>0.10249999999999999</v>
      </c>
      <c r="K14" s="18">
        <v>0.41039999999999999</v>
      </c>
    </row>
    <row r="15" spans="1:11" x14ac:dyDescent="0.2">
      <c r="A15" s="17">
        <v>45092</v>
      </c>
      <c r="B15" s="18">
        <v>1.2710999999999999</v>
      </c>
      <c r="C15" s="18">
        <v>0.16045799999999999</v>
      </c>
      <c r="D15" s="18">
        <v>9.3600000000000003E-2</v>
      </c>
      <c r="E15" s="18">
        <v>0.44527</v>
      </c>
      <c r="F15" s="18">
        <v>9.7900000000000001E-2</v>
      </c>
      <c r="G15" s="18">
        <v>3.9064000000000002E-2</v>
      </c>
      <c r="H15" s="18">
        <v>0.42619699999999999</v>
      </c>
      <c r="I15" s="18">
        <v>6.2199999999999998E-2</v>
      </c>
      <c r="J15" s="18">
        <v>0.1066</v>
      </c>
      <c r="K15" s="18">
        <v>0.41670000000000001</v>
      </c>
    </row>
    <row r="16" spans="1:11" x14ac:dyDescent="0.2">
      <c r="A16" s="17">
        <v>45093</v>
      </c>
      <c r="B16" s="18">
        <v>1.2548999999999999</v>
      </c>
      <c r="C16" s="18">
        <v>0.157273</v>
      </c>
      <c r="D16" s="18">
        <v>9.98E-2</v>
      </c>
      <c r="E16" s="18">
        <v>0.43196000000000001</v>
      </c>
      <c r="F16" s="18">
        <v>9.4E-2</v>
      </c>
      <c r="G16" s="18">
        <v>3.9432000000000002E-2</v>
      </c>
      <c r="H16" s="18">
        <v>0.42658699999999999</v>
      </c>
      <c r="I16" s="18">
        <v>6.2300000000000001E-2</v>
      </c>
      <c r="J16" s="18">
        <v>0.10680000000000001</v>
      </c>
      <c r="K16" s="18">
        <v>0.42559999999999998</v>
      </c>
    </row>
    <row r="17" spans="1:11" x14ac:dyDescent="0.2">
      <c r="A17" s="17">
        <v>45097</v>
      </c>
      <c r="B17" s="18">
        <v>1.2578</v>
      </c>
      <c r="C17" s="18">
        <v>0.15826799999999999</v>
      </c>
      <c r="D17" s="18">
        <v>0.1172</v>
      </c>
      <c r="E17" s="18">
        <v>0.43469999999999998</v>
      </c>
      <c r="F17" s="18">
        <v>9.35E-2</v>
      </c>
      <c r="G17" s="18">
        <v>3.8695E-2</v>
      </c>
      <c r="H17" s="18">
        <v>0.43773800000000002</v>
      </c>
      <c r="I17" s="18">
        <v>6.2399999999999997E-2</v>
      </c>
      <c r="J17" s="18">
        <v>0.10580000000000001</v>
      </c>
      <c r="K17" s="18">
        <v>0.40010000000000001</v>
      </c>
    </row>
    <row r="18" spans="1:11" x14ac:dyDescent="0.2">
      <c r="A18" s="17">
        <v>45098</v>
      </c>
      <c r="B18" s="18">
        <v>1.2483</v>
      </c>
      <c r="C18" s="18">
        <v>0.158169</v>
      </c>
      <c r="D18" s="18">
        <v>0.1221</v>
      </c>
      <c r="E18" s="18">
        <v>0.42444999999999999</v>
      </c>
      <c r="F18" s="18">
        <v>9.0700000000000003E-2</v>
      </c>
      <c r="G18" s="18">
        <v>3.7957999999999999E-2</v>
      </c>
      <c r="H18" s="18">
        <v>0.430114</v>
      </c>
      <c r="I18" s="18">
        <v>6.2899999999999998E-2</v>
      </c>
      <c r="J18" s="18">
        <v>0.1023</v>
      </c>
      <c r="K18" s="18">
        <v>0.3836</v>
      </c>
    </row>
    <row r="19" spans="1:11" x14ac:dyDescent="0.2">
      <c r="A19" s="17">
        <v>45099</v>
      </c>
      <c r="B19" s="18">
        <v>1.3015000000000001</v>
      </c>
      <c r="C19" s="18">
        <v>0.15687499999999999</v>
      </c>
      <c r="D19" s="18">
        <v>0.1183</v>
      </c>
      <c r="E19" s="18">
        <v>0.42248000000000002</v>
      </c>
      <c r="F19" s="18">
        <v>8.9200000000000002E-2</v>
      </c>
      <c r="G19" s="18">
        <v>3.7497999999999997E-2</v>
      </c>
      <c r="H19" s="18">
        <v>0.42991400000000002</v>
      </c>
      <c r="I19" s="18">
        <v>6.1699999999999998E-2</v>
      </c>
      <c r="J19" s="18">
        <v>0.10639999999999999</v>
      </c>
      <c r="K19" s="18">
        <v>0.3785</v>
      </c>
    </row>
    <row r="20" spans="1:11" x14ac:dyDescent="0.2">
      <c r="A20" s="17">
        <v>45100</v>
      </c>
      <c r="B20" s="18">
        <v>1.2932999999999999</v>
      </c>
      <c r="C20" s="18">
        <v>0.157273</v>
      </c>
      <c r="D20" s="18">
        <v>0.12709999999999999</v>
      </c>
      <c r="E20" s="18">
        <v>0.42402000000000001</v>
      </c>
      <c r="F20" s="18">
        <v>8.43E-2</v>
      </c>
      <c r="G20" s="18">
        <v>3.6667999999999999E-2</v>
      </c>
      <c r="H20" s="18">
        <v>0.42176000000000002</v>
      </c>
      <c r="I20" s="18">
        <v>5.9900000000000002E-2</v>
      </c>
      <c r="J20" s="18">
        <v>0.1082</v>
      </c>
      <c r="K20" s="18">
        <v>0.37469999999999998</v>
      </c>
    </row>
    <row r="21" spans="1:11" x14ac:dyDescent="0.2">
      <c r="A21" s="17">
        <v>45103</v>
      </c>
      <c r="B21" s="18">
        <v>1.2733000000000001</v>
      </c>
      <c r="C21" s="18">
        <v>0.14532800000000001</v>
      </c>
      <c r="D21" s="18">
        <v>0.1179</v>
      </c>
      <c r="E21" s="18">
        <v>0.41593999999999998</v>
      </c>
      <c r="F21" s="18">
        <v>8.4000000000000005E-2</v>
      </c>
      <c r="G21" s="18">
        <v>3.7037E-2</v>
      </c>
      <c r="H21" s="18">
        <v>0.406003</v>
      </c>
      <c r="I21" s="18">
        <v>6.2799999999999995E-2</v>
      </c>
      <c r="J21" s="18">
        <v>0.11210000000000001</v>
      </c>
      <c r="K21" s="18">
        <v>0.36730000000000002</v>
      </c>
    </row>
    <row r="22" spans="1:11" x14ac:dyDescent="0.2">
      <c r="A22" s="17">
        <v>45104</v>
      </c>
      <c r="B22" s="18">
        <v>1.2918000000000001</v>
      </c>
      <c r="C22" s="18">
        <v>0.158169</v>
      </c>
      <c r="D22" s="18">
        <v>0.1338</v>
      </c>
      <c r="E22" s="18">
        <v>0.41708000000000001</v>
      </c>
      <c r="F22" s="18">
        <v>9.3399999999999997E-2</v>
      </c>
      <c r="G22" s="18">
        <v>3.7957999999999999E-2</v>
      </c>
      <c r="H22" s="18">
        <v>0.418433</v>
      </c>
      <c r="I22" s="18">
        <v>6.2E-2</v>
      </c>
      <c r="J22" s="18">
        <v>0.1148</v>
      </c>
      <c r="K22" s="18">
        <v>0.42380000000000001</v>
      </c>
    </row>
    <row r="23" spans="1:11" x14ac:dyDescent="0.2">
      <c r="A23" s="17">
        <v>45105</v>
      </c>
      <c r="B23" s="18">
        <v>1.2904</v>
      </c>
      <c r="C23" s="18">
        <v>0.17210400000000001</v>
      </c>
      <c r="D23" s="18">
        <v>0.13159999999999999</v>
      </c>
      <c r="E23" s="18">
        <v>0.42984</v>
      </c>
      <c r="F23" s="18">
        <v>9.5200000000000007E-2</v>
      </c>
      <c r="G23" s="18">
        <v>3.8143000000000003E-2</v>
      </c>
      <c r="H23" s="18">
        <v>0.41084900000000002</v>
      </c>
      <c r="I23" s="18">
        <v>6.0699999999999997E-2</v>
      </c>
      <c r="J23" s="18">
        <v>0.11650000000000001</v>
      </c>
      <c r="K23" s="18">
        <v>0.44119999999999998</v>
      </c>
    </row>
    <row r="24" spans="1:11" x14ac:dyDescent="0.2">
      <c r="A24" s="17">
        <v>45106</v>
      </c>
      <c r="B24" s="18">
        <v>1.2789999999999999</v>
      </c>
      <c r="C24" s="18">
        <v>0.17080999999999999</v>
      </c>
      <c r="D24" s="18">
        <v>0.13819999999999999</v>
      </c>
      <c r="E24" s="18">
        <v>0.42824000000000001</v>
      </c>
      <c r="F24" s="18">
        <v>9.3899999999999997E-2</v>
      </c>
      <c r="G24" s="18">
        <v>3.8234999999999998E-2</v>
      </c>
      <c r="H24" s="18">
        <v>0.40790100000000001</v>
      </c>
      <c r="I24" s="18">
        <v>6.4199999999999993E-2</v>
      </c>
      <c r="J24" s="18">
        <v>0.1168</v>
      </c>
      <c r="K24" s="18">
        <v>0.43680000000000002</v>
      </c>
    </row>
    <row r="25" spans="1:11" x14ac:dyDescent="0.2">
      <c r="A25" s="17">
        <v>45107</v>
      </c>
      <c r="B25" s="18">
        <v>1.3036000000000001</v>
      </c>
      <c r="C25" s="18">
        <v>0.18743399999999999</v>
      </c>
      <c r="D25" s="18">
        <v>0.1386</v>
      </c>
      <c r="E25" s="18">
        <v>0.44048999999999999</v>
      </c>
      <c r="F25" s="18">
        <v>9.69E-2</v>
      </c>
      <c r="G25" s="18">
        <v>3.8327E-2</v>
      </c>
      <c r="H25" s="18">
        <v>0.42269000000000001</v>
      </c>
      <c r="I25" s="18">
        <v>7.0099999999999996E-2</v>
      </c>
      <c r="J25" s="18">
        <v>0.11840000000000001</v>
      </c>
      <c r="K25" s="18">
        <v>0.43419999999999997</v>
      </c>
    </row>
    <row r="26" spans="1:11" x14ac:dyDescent="0.2">
      <c r="A26" s="17">
        <v>45110</v>
      </c>
      <c r="B26" s="18">
        <v>1.3022</v>
      </c>
      <c r="C26" s="18">
        <v>0.18872800000000001</v>
      </c>
      <c r="D26" s="18">
        <v>0.1532</v>
      </c>
      <c r="E26" s="18">
        <v>0.44144</v>
      </c>
      <c r="F26" s="18">
        <v>0.1003</v>
      </c>
      <c r="G26" s="18">
        <v>3.9064000000000002E-2</v>
      </c>
      <c r="H26" s="18">
        <v>0.42379899999999998</v>
      </c>
      <c r="I26" s="18">
        <v>6.9699999999999998E-2</v>
      </c>
      <c r="J26" s="18">
        <v>0.1202</v>
      </c>
      <c r="K26" s="18">
        <v>0.43459999999999999</v>
      </c>
    </row>
    <row r="27" spans="1:11" x14ac:dyDescent="0.2">
      <c r="A27" s="17">
        <v>45112</v>
      </c>
      <c r="B27" s="18">
        <v>1.3038000000000001</v>
      </c>
      <c r="C27" s="18">
        <v>0.191216</v>
      </c>
      <c r="D27" s="18">
        <v>0.15559999999999999</v>
      </c>
      <c r="E27" s="18">
        <v>0.44590000000000002</v>
      </c>
      <c r="F27" s="18">
        <v>0.1022</v>
      </c>
      <c r="G27" s="18">
        <v>3.8510999999999997E-2</v>
      </c>
      <c r="H27" s="18">
        <v>0.42283999999999999</v>
      </c>
      <c r="I27" s="18">
        <v>7.3499999999999996E-2</v>
      </c>
      <c r="J27" s="18">
        <v>0.1212</v>
      </c>
      <c r="K27" s="18">
        <v>0.4158</v>
      </c>
    </row>
    <row r="28" spans="1:11" x14ac:dyDescent="0.2">
      <c r="A28" s="17">
        <v>45113</v>
      </c>
      <c r="B28" s="18">
        <v>1.2836000000000001</v>
      </c>
      <c r="C28" s="18">
        <v>0.18773200000000001</v>
      </c>
      <c r="D28" s="18">
        <v>0.1532</v>
      </c>
      <c r="E28" s="18">
        <v>0.43884000000000001</v>
      </c>
      <c r="F28" s="18">
        <v>9.5600000000000004E-2</v>
      </c>
      <c r="G28" s="18">
        <v>3.8143000000000003E-2</v>
      </c>
      <c r="H28" s="18">
        <v>0.42070099999999999</v>
      </c>
      <c r="I28" s="18">
        <v>7.2999999999999995E-2</v>
      </c>
      <c r="J28" s="18">
        <v>0.1191</v>
      </c>
      <c r="K28" s="18">
        <v>0.40550000000000003</v>
      </c>
    </row>
    <row r="29" spans="1:11" x14ac:dyDescent="0.2">
      <c r="A29" s="17">
        <v>45114</v>
      </c>
      <c r="B29" s="18">
        <v>1.2978000000000001</v>
      </c>
      <c r="C29" s="18">
        <v>0.189524</v>
      </c>
      <c r="D29" s="18">
        <v>0.15670000000000001</v>
      </c>
      <c r="E29" s="18">
        <v>0.43809999999999999</v>
      </c>
      <c r="F29" s="18">
        <v>9.9900000000000003E-2</v>
      </c>
      <c r="G29" s="18">
        <v>3.8234999999999998E-2</v>
      </c>
      <c r="H29" s="18">
        <v>0.42469800000000002</v>
      </c>
      <c r="I29" s="18">
        <v>7.7299999999999994E-2</v>
      </c>
      <c r="J29" s="18">
        <v>0.1168</v>
      </c>
      <c r="K29" s="18">
        <v>0.40460000000000002</v>
      </c>
    </row>
    <row r="30" spans="1:11" x14ac:dyDescent="0.2">
      <c r="A30" s="17">
        <v>45117</v>
      </c>
      <c r="B30" s="18">
        <v>1.2713000000000001</v>
      </c>
      <c r="C30" s="18">
        <v>0.192112</v>
      </c>
      <c r="D30" s="18">
        <v>0.16919999999999999</v>
      </c>
      <c r="E30" s="18">
        <v>0.44170999999999999</v>
      </c>
      <c r="F30" s="18">
        <v>0.10780000000000001</v>
      </c>
      <c r="G30" s="18">
        <v>3.8419000000000002E-2</v>
      </c>
      <c r="H30" s="18">
        <v>0.42147099999999998</v>
      </c>
      <c r="I30" s="18">
        <v>7.9899999999999999E-2</v>
      </c>
      <c r="J30" s="18">
        <v>0.1178</v>
      </c>
      <c r="K30" s="18">
        <v>0.39960000000000001</v>
      </c>
    </row>
    <row r="31" spans="1:11" x14ac:dyDescent="0.2">
      <c r="A31" s="17">
        <v>45118</v>
      </c>
      <c r="B31" s="18">
        <v>1.2878000000000001</v>
      </c>
      <c r="C31" s="18">
        <v>0.18812999999999999</v>
      </c>
      <c r="D31" s="18">
        <v>0.1739</v>
      </c>
      <c r="E31" s="18">
        <v>0.44020999999999999</v>
      </c>
      <c r="F31" s="18">
        <v>0.1081</v>
      </c>
      <c r="G31" s="18">
        <v>3.8695E-2</v>
      </c>
      <c r="H31" s="18">
        <v>0.42371900000000001</v>
      </c>
      <c r="I31" s="18">
        <v>8.2199999999999995E-2</v>
      </c>
      <c r="J31" s="18">
        <v>0.12740000000000001</v>
      </c>
      <c r="K31" s="18">
        <v>0.43819999999999998</v>
      </c>
    </row>
    <row r="32" spans="1:11" x14ac:dyDescent="0.2">
      <c r="A32" s="17">
        <v>45119</v>
      </c>
      <c r="B32" s="18">
        <v>1.3080000000000001</v>
      </c>
      <c r="C32" s="18">
        <v>0.181362</v>
      </c>
      <c r="D32" s="18">
        <v>0.1686</v>
      </c>
      <c r="E32" s="18">
        <v>0.44405</v>
      </c>
      <c r="F32" s="18">
        <v>0.1116</v>
      </c>
      <c r="G32" s="18">
        <v>3.9432000000000002E-2</v>
      </c>
      <c r="H32" s="18">
        <v>0.43867699999999998</v>
      </c>
      <c r="I32" s="18">
        <v>8.0199999999999994E-2</v>
      </c>
      <c r="J32" s="18">
        <v>0.13370000000000001</v>
      </c>
      <c r="K32" s="18">
        <v>0.43690000000000001</v>
      </c>
    </row>
    <row r="33" spans="1:11" x14ac:dyDescent="0.2">
      <c r="A33" s="17">
        <v>45120</v>
      </c>
      <c r="B33" s="18">
        <v>1.343</v>
      </c>
      <c r="C33" s="18">
        <v>0.17668300000000001</v>
      </c>
      <c r="D33" s="18">
        <v>0.193</v>
      </c>
      <c r="E33" s="18">
        <v>0.45038</v>
      </c>
      <c r="F33" s="18">
        <v>0.1076</v>
      </c>
      <c r="G33" s="18">
        <v>4.0077000000000002E-2</v>
      </c>
      <c r="H33" s="18">
        <v>0.45941100000000001</v>
      </c>
      <c r="I33" s="18">
        <v>8.0500000000000002E-2</v>
      </c>
      <c r="J33" s="18">
        <v>0.1351</v>
      </c>
      <c r="K33" s="18">
        <v>0.46839999999999998</v>
      </c>
    </row>
    <row r="34" spans="1:11" x14ac:dyDescent="0.2">
      <c r="A34" s="17">
        <v>45121</v>
      </c>
      <c r="B34" s="18">
        <v>1.3468</v>
      </c>
      <c r="C34" s="18">
        <v>0.17150699999999999</v>
      </c>
      <c r="D34" s="18">
        <v>0.1807</v>
      </c>
      <c r="E34" s="18">
        <v>0.44191000000000003</v>
      </c>
      <c r="F34" s="18">
        <v>0.10539999999999999</v>
      </c>
      <c r="G34" s="18">
        <v>3.6667999999999999E-2</v>
      </c>
      <c r="H34" s="18">
        <v>0.45433499999999999</v>
      </c>
      <c r="I34" s="18">
        <v>7.8100000000000003E-2</v>
      </c>
      <c r="J34" s="18">
        <v>0.13150000000000001</v>
      </c>
      <c r="K34" s="18">
        <v>0.44340000000000002</v>
      </c>
    </row>
    <row r="35" spans="1:11" x14ac:dyDescent="0.2">
      <c r="A35" s="17">
        <v>45124</v>
      </c>
      <c r="B35" s="18">
        <v>1.3355999999999999</v>
      </c>
      <c r="C35" s="18">
        <v>0.176285</v>
      </c>
      <c r="D35" s="18">
        <v>0.1726</v>
      </c>
      <c r="E35" s="18">
        <v>0.45005000000000001</v>
      </c>
      <c r="F35" s="18">
        <v>0.1056</v>
      </c>
      <c r="G35" s="18">
        <v>3.5471000000000003E-2</v>
      </c>
      <c r="H35" s="18">
        <v>0.46424700000000002</v>
      </c>
      <c r="I35" s="18">
        <v>7.9299999999999995E-2</v>
      </c>
      <c r="J35" s="18">
        <v>0.13469999999999999</v>
      </c>
      <c r="K35" s="18">
        <v>0.46079999999999999</v>
      </c>
    </row>
    <row r="36" spans="1:11" x14ac:dyDescent="0.2">
      <c r="A36" s="17">
        <v>45125</v>
      </c>
      <c r="B36" s="18">
        <v>1.3283</v>
      </c>
      <c r="C36" s="18">
        <v>0.18165999999999999</v>
      </c>
      <c r="D36" s="18">
        <v>0.1681</v>
      </c>
      <c r="E36" s="18">
        <v>0.4748</v>
      </c>
      <c r="F36" s="18">
        <v>0.1042</v>
      </c>
      <c r="G36" s="18">
        <v>3.5747000000000001E-2</v>
      </c>
      <c r="H36" s="18">
        <v>0.47456900000000002</v>
      </c>
      <c r="I36" s="18">
        <v>8.4699999999999998E-2</v>
      </c>
      <c r="J36" s="18">
        <v>0.13370000000000001</v>
      </c>
      <c r="K36" s="18">
        <v>0.4713</v>
      </c>
    </row>
    <row r="37" spans="1:11" x14ac:dyDescent="0.2">
      <c r="A37" s="17">
        <v>45126</v>
      </c>
      <c r="B37" s="18">
        <v>1.3535999999999999</v>
      </c>
      <c r="C37" s="18">
        <v>0.18066499999999999</v>
      </c>
      <c r="D37" s="18">
        <v>0.1759</v>
      </c>
      <c r="E37" s="18">
        <v>0.47759000000000001</v>
      </c>
      <c r="F37" s="18">
        <v>0.10639999999999999</v>
      </c>
      <c r="G37" s="18">
        <v>3.6299999999999999E-2</v>
      </c>
      <c r="H37" s="18">
        <v>0.47040199999999999</v>
      </c>
      <c r="I37" s="18">
        <v>8.2500000000000004E-2</v>
      </c>
      <c r="J37" s="18">
        <v>0.13109999999999999</v>
      </c>
      <c r="K37" s="18">
        <v>0.48499999999999999</v>
      </c>
    </row>
    <row r="38" spans="1:11" x14ac:dyDescent="0.2">
      <c r="A38" s="17">
        <v>45127</v>
      </c>
      <c r="B38" s="18">
        <v>1.2996000000000001</v>
      </c>
      <c r="C38" s="18">
        <v>0.17568800000000001</v>
      </c>
      <c r="D38" s="18">
        <v>0.1706</v>
      </c>
      <c r="E38" s="18">
        <v>0.43741999999999998</v>
      </c>
      <c r="F38" s="18">
        <v>0.1032</v>
      </c>
      <c r="G38" s="18">
        <v>3.6207999999999997E-2</v>
      </c>
      <c r="H38" s="18">
        <v>0.45484400000000003</v>
      </c>
      <c r="I38" s="18">
        <v>8.1900000000000001E-2</v>
      </c>
      <c r="J38" s="18">
        <v>0.1293</v>
      </c>
      <c r="K38" s="18">
        <v>0.44440000000000002</v>
      </c>
    </row>
    <row r="39" spans="1:11" x14ac:dyDescent="0.2">
      <c r="A39" s="17">
        <v>45128</v>
      </c>
      <c r="B39" s="18">
        <v>1.3</v>
      </c>
      <c r="C39" s="18">
        <v>0.177977</v>
      </c>
      <c r="D39" s="18">
        <v>0.16880000000000001</v>
      </c>
      <c r="E39" s="18">
        <v>0.42749999999999999</v>
      </c>
      <c r="F39" s="18">
        <v>0.10580000000000001</v>
      </c>
      <c r="G39" s="18">
        <v>3.6299999999999999E-2</v>
      </c>
      <c r="H39" s="18">
        <v>0.44274400000000003</v>
      </c>
      <c r="I39" s="18">
        <v>8.1000000000000003E-2</v>
      </c>
      <c r="J39" s="18">
        <v>0.12740000000000001</v>
      </c>
      <c r="K39" s="18">
        <v>0.44490000000000002</v>
      </c>
    </row>
    <row r="40" spans="1:11" x14ac:dyDescent="0.2">
      <c r="A40" s="17">
        <v>45131</v>
      </c>
      <c r="B40" s="18">
        <v>1.288</v>
      </c>
      <c r="C40" s="18">
        <v>0.177679</v>
      </c>
      <c r="D40" s="18">
        <v>0.16420000000000001</v>
      </c>
      <c r="E40" s="18">
        <v>0.42836999999999997</v>
      </c>
      <c r="F40" s="18">
        <v>0.1173</v>
      </c>
      <c r="G40" s="18">
        <v>3.6802000000000001E-2</v>
      </c>
      <c r="H40" s="18">
        <v>0.445772</v>
      </c>
      <c r="I40" s="18">
        <v>8.5999999999999993E-2</v>
      </c>
      <c r="J40" s="18">
        <v>0.1268</v>
      </c>
      <c r="K40" s="18">
        <v>0.4355</v>
      </c>
    </row>
    <row r="41" spans="1:11" x14ac:dyDescent="0.2">
      <c r="A41" s="17">
        <v>45132</v>
      </c>
      <c r="B41" s="18">
        <v>1.2912999999999999</v>
      </c>
      <c r="C41" s="18">
        <v>0.17369699999999999</v>
      </c>
      <c r="D41" s="18">
        <v>0.1618</v>
      </c>
      <c r="E41" s="18">
        <v>0.42770000000000002</v>
      </c>
      <c r="F41" s="18">
        <v>0.1191</v>
      </c>
      <c r="G41" s="18">
        <v>3.6894999999999997E-2</v>
      </c>
      <c r="H41" s="18">
        <v>0.45643299999999998</v>
      </c>
      <c r="I41" s="18">
        <v>8.5400000000000004E-2</v>
      </c>
      <c r="J41" s="18">
        <v>0.12509999999999999</v>
      </c>
      <c r="K41" s="18">
        <v>0.432</v>
      </c>
    </row>
    <row r="42" spans="1:11" x14ac:dyDescent="0.2">
      <c r="A42" s="17">
        <v>45133</v>
      </c>
      <c r="B42" s="18">
        <v>1.2815000000000001</v>
      </c>
      <c r="C42" s="18">
        <v>0.17568800000000001</v>
      </c>
      <c r="D42" s="18">
        <v>0.16819999999999999</v>
      </c>
      <c r="E42" s="18">
        <v>0.42266999999999999</v>
      </c>
      <c r="F42" s="18">
        <v>0.13170000000000001</v>
      </c>
      <c r="G42" s="18">
        <v>3.6802000000000001E-2</v>
      </c>
      <c r="H42" s="18">
        <v>0.45416499999999999</v>
      </c>
      <c r="I42" s="18">
        <v>8.4500000000000006E-2</v>
      </c>
      <c r="J42" s="18">
        <v>0.10730000000000001</v>
      </c>
      <c r="K42" s="18">
        <v>0.43330000000000002</v>
      </c>
    </row>
    <row r="43" spans="1:11" x14ac:dyDescent="0.2">
      <c r="A43" s="17">
        <v>45134</v>
      </c>
      <c r="B43" s="18">
        <v>1.2825</v>
      </c>
      <c r="C43" s="18">
        <v>0.181362</v>
      </c>
      <c r="D43" s="18">
        <v>0.15970000000000001</v>
      </c>
      <c r="E43" s="18">
        <v>0.41316999999999998</v>
      </c>
      <c r="F43" s="18">
        <v>0.13239999999999999</v>
      </c>
      <c r="G43" s="18">
        <v>3.6243999999999998E-2</v>
      </c>
      <c r="H43" s="18">
        <v>0.45864199999999999</v>
      </c>
      <c r="I43" s="18">
        <v>8.2000000000000003E-2</v>
      </c>
      <c r="J43" s="18">
        <v>0.1033</v>
      </c>
      <c r="K43" s="18">
        <v>0.43209999999999998</v>
      </c>
    </row>
    <row r="44" spans="1:11" x14ac:dyDescent="0.2">
      <c r="A44" s="17">
        <v>45135</v>
      </c>
      <c r="B44" s="18">
        <v>1.3221000000000001</v>
      </c>
      <c r="C44" s="18">
        <v>0.18404899999999999</v>
      </c>
      <c r="D44" s="18">
        <v>0.16700000000000001</v>
      </c>
      <c r="E44" s="18">
        <v>0.42577999999999999</v>
      </c>
      <c r="F44" s="18">
        <v>0.1474</v>
      </c>
      <c r="G44" s="18">
        <v>3.6523E-2</v>
      </c>
      <c r="H44" s="18">
        <v>0.46713500000000002</v>
      </c>
      <c r="I44" s="18">
        <v>8.5500000000000007E-2</v>
      </c>
      <c r="J44" s="18">
        <v>0.10680000000000001</v>
      </c>
      <c r="K44" s="18">
        <v>0.45390000000000003</v>
      </c>
    </row>
    <row r="45" spans="1:11" x14ac:dyDescent="0.2">
      <c r="A45" s="17">
        <v>45138</v>
      </c>
      <c r="B45" s="18">
        <v>1.3368</v>
      </c>
      <c r="C45" s="18">
        <v>0.18753300000000001</v>
      </c>
      <c r="D45" s="18">
        <v>0.17369999999999999</v>
      </c>
      <c r="E45" s="18">
        <v>0.43897000000000003</v>
      </c>
      <c r="F45" s="18">
        <v>0.153</v>
      </c>
      <c r="G45" s="18">
        <v>3.6616000000000003E-2</v>
      </c>
      <c r="H45" s="18">
        <v>0.46692499999999998</v>
      </c>
      <c r="I45" s="18">
        <v>8.7999999999999995E-2</v>
      </c>
      <c r="J45" s="18">
        <v>0.11360000000000001</v>
      </c>
      <c r="K45" s="18">
        <v>0.45839999999999997</v>
      </c>
    </row>
    <row r="46" spans="1:11" x14ac:dyDescent="0.2">
      <c r="A46" s="17">
        <v>45139</v>
      </c>
      <c r="B46" s="18">
        <v>1.3169</v>
      </c>
      <c r="C46" s="18">
        <v>0.17907200000000001</v>
      </c>
      <c r="D46" s="18">
        <v>0.16830000000000001</v>
      </c>
      <c r="E46" s="18">
        <v>0.43862000000000001</v>
      </c>
      <c r="F46" s="18">
        <v>0.14630000000000001</v>
      </c>
      <c r="G46" s="18">
        <v>3.6708999999999999E-2</v>
      </c>
      <c r="H46" s="18">
        <v>0.46470699999999998</v>
      </c>
      <c r="I46" s="18">
        <v>8.3699999999999997E-2</v>
      </c>
      <c r="J46" s="18">
        <v>0.1128</v>
      </c>
      <c r="K46" s="18">
        <v>0.45300000000000001</v>
      </c>
    </row>
    <row r="47" spans="1:11" x14ac:dyDescent="0.2">
      <c r="A47" s="17">
        <v>45140</v>
      </c>
      <c r="B47" s="18">
        <v>1.2821</v>
      </c>
      <c r="C47" s="18">
        <v>0.17638499999999999</v>
      </c>
      <c r="D47" s="18">
        <v>0.1648</v>
      </c>
      <c r="E47" s="18">
        <v>0.42970000000000003</v>
      </c>
      <c r="F47" s="18">
        <v>0.1457</v>
      </c>
      <c r="G47" s="18">
        <v>3.6616000000000003E-2</v>
      </c>
      <c r="H47" s="18">
        <v>0.44234400000000001</v>
      </c>
      <c r="I47" s="18">
        <v>8.4000000000000005E-2</v>
      </c>
      <c r="J47" s="18">
        <v>0.10970000000000001</v>
      </c>
      <c r="K47" s="18">
        <v>0.41449999999999998</v>
      </c>
    </row>
    <row r="48" spans="1:11" x14ac:dyDescent="0.2">
      <c r="A48" s="17">
        <v>45141</v>
      </c>
      <c r="B48" s="18">
        <v>1.2890999999999999</v>
      </c>
      <c r="C48" s="18">
        <v>0.174792</v>
      </c>
      <c r="D48" s="18">
        <v>0.1656</v>
      </c>
      <c r="E48" s="18">
        <v>0.43099999999999999</v>
      </c>
      <c r="F48" s="18">
        <v>0.15459999999999999</v>
      </c>
      <c r="G48" s="18">
        <v>3.6151000000000003E-2</v>
      </c>
      <c r="H48" s="18">
        <v>0.44480199999999998</v>
      </c>
      <c r="I48" s="18">
        <v>8.5000000000000006E-2</v>
      </c>
      <c r="J48" s="18">
        <v>0.1079</v>
      </c>
      <c r="K48" s="18">
        <v>0.41120000000000001</v>
      </c>
    </row>
    <row r="49" spans="1:11" x14ac:dyDescent="0.2">
      <c r="A49" s="17">
        <v>45142</v>
      </c>
      <c r="B49" s="18">
        <v>1.3956999999999999</v>
      </c>
      <c r="C49" s="18">
        <v>0.17080999999999999</v>
      </c>
      <c r="D49" s="18">
        <v>0.1583</v>
      </c>
      <c r="E49" s="18">
        <v>0.43159999999999998</v>
      </c>
      <c r="F49" s="18">
        <v>0.1472</v>
      </c>
      <c r="G49" s="18">
        <v>3.6337000000000001E-2</v>
      </c>
      <c r="H49" s="18">
        <v>0.44645099999999999</v>
      </c>
      <c r="I49" s="18">
        <v>8.4900000000000003E-2</v>
      </c>
      <c r="J49" s="18">
        <v>0.1075</v>
      </c>
      <c r="K49" s="18">
        <v>0.4017</v>
      </c>
    </row>
    <row r="50" spans="1:11" x14ac:dyDescent="0.2">
      <c r="A50" s="17">
        <v>45145</v>
      </c>
      <c r="B50" s="18">
        <v>1.4221999999999999</v>
      </c>
      <c r="C50" s="18">
        <v>0.17957000000000001</v>
      </c>
      <c r="D50" s="18">
        <v>0.1507</v>
      </c>
      <c r="E50" s="18">
        <v>0.44075999999999999</v>
      </c>
      <c r="F50" s="18">
        <v>0.1482</v>
      </c>
      <c r="G50" s="18">
        <v>3.6243999999999998E-2</v>
      </c>
      <c r="H50" s="18">
        <v>0.45381500000000002</v>
      </c>
      <c r="I50" s="18">
        <v>8.1299999999999997E-2</v>
      </c>
      <c r="J50" s="18">
        <v>0.1057</v>
      </c>
      <c r="K50" s="18">
        <v>0.39950000000000002</v>
      </c>
    </row>
    <row r="51" spans="1:11" x14ac:dyDescent="0.2">
      <c r="A51" s="17">
        <v>45146</v>
      </c>
      <c r="B51" s="18">
        <v>1.3994</v>
      </c>
      <c r="C51" s="18">
        <v>0.17837500000000001</v>
      </c>
      <c r="D51" s="18">
        <v>0.15720000000000001</v>
      </c>
      <c r="E51" s="18">
        <v>0.43830000000000002</v>
      </c>
      <c r="F51" s="18">
        <v>0.14069999999999999</v>
      </c>
      <c r="G51" s="18">
        <v>3.6243999999999998E-2</v>
      </c>
      <c r="H51" s="18">
        <v>0.44629099999999999</v>
      </c>
      <c r="I51" s="18">
        <v>8.2699999999999996E-2</v>
      </c>
      <c r="J51" s="18">
        <v>0.10539999999999999</v>
      </c>
      <c r="K51" s="18">
        <v>0.38890000000000002</v>
      </c>
    </row>
    <row r="52" spans="1:11" x14ac:dyDescent="0.2">
      <c r="A52" s="17">
        <v>45147</v>
      </c>
      <c r="B52" s="18">
        <v>1.3785000000000001</v>
      </c>
      <c r="C52" s="18">
        <v>0.171905</v>
      </c>
      <c r="D52" s="18">
        <v>0.15509999999999999</v>
      </c>
      <c r="E52" s="18">
        <v>0.4289</v>
      </c>
      <c r="F52" s="18">
        <v>0.1346</v>
      </c>
      <c r="G52" s="18">
        <v>3.6243999999999998E-2</v>
      </c>
      <c r="H52" s="18">
        <v>0.42520799999999997</v>
      </c>
      <c r="I52" s="18">
        <v>8.3799999999999999E-2</v>
      </c>
      <c r="J52" s="18">
        <v>0.10440000000000001</v>
      </c>
      <c r="K52" s="18">
        <v>0.37559999999999999</v>
      </c>
    </row>
    <row r="53" spans="1:11" x14ac:dyDescent="0.2">
      <c r="A53" s="17">
        <v>45148</v>
      </c>
      <c r="B53" s="18">
        <v>1.3855999999999999</v>
      </c>
      <c r="C53" s="18">
        <v>0.17280100000000001</v>
      </c>
      <c r="D53" s="18">
        <v>0.14549999999999999</v>
      </c>
      <c r="E53" s="18">
        <v>0.42997999999999997</v>
      </c>
      <c r="F53" s="18">
        <v>0.13250000000000001</v>
      </c>
      <c r="G53" s="18">
        <v>3.6708999999999999E-2</v>
      </c>
      <c r="H53" s="18">
        <v>0.42354900000000001</v>
      </c>
      <c r="I53" s="18">
        <v>8.4400000000000003E-2</v>
      </c>
      <c r="J53" s="18">
        <v>0.1022</v>
      </c>
      <c r="K53" s="18">
        <v>0.37090000000000001</v>
      </c>
    </row>
    <row r="54" spans="1:11" x14ac:dyDescent="0.2">
      <c r="A54" s="17">
        <v>45149</v>
      </c>
      <c r="B54" s="18">
        <v>1.3841000000000001</v>
      </c>
      <c r="C54" s="18">
        <v>0.167127</v>
      </c>
      <c r="D54" s="18">
        <v>0.14879999999999999</v>
      </c>
      <c r="E54" s="18">
        <v>0.42165999999999998</v>
      </c>
      <c r="F54" s="18">
        <v>0.129</v>
      </c>
      <c r="G54" s="18">
        <v>3.6151000000000003E-2</v>
      </c>
      <c r="H54" s="18">
        <v>0.40823100000000001</v>
      </c>
      <c r="I54" s="18">
        <v>8.5999999999999993E-2</v>
      </c>
      <c r="J54" s="18">
        <v>0.1003</v>
      </c>
      <c r="K54" s="18">
        <v>0.36630000000000001</v>
      </c>
    </row>
    <row r="55" spans="1:11" x14ac:dyDescent="0.2">
      <c r="A55" s="17">
        <v>45152</v>
      </c>
      <c r="B55" s="18">
        <v>1.4056999999999999</v>
      </c>
      <c r="C55" s="18">
        <v>0.16752600000000001</v>
      </c>
      <c r="D55" s="18">
        <v>0.14990000000000001</v>
      </c>
      <c r="E55" s="18">
        <v>0.42777999999999999</v>
      </c>
      <c r="F55" s="18">
        <v>0.12520000000000001</v>
      </c>
      <c r="G55" s="18">
        <v>3.5964999999999997E-2</v>
      </c>
      <c r="H55" s="18">
        <v>0.43718800000000002</v>
      </c>
      <c r="I55" s="18">
        <v>8.3500000000000005E-2</v>
      </c>
      <c r="J55" s="18">
        <v>9.9400000000000002E-2</v>
      </c>
      <c r="K55" s="18">
        <v>0.3654</v>
      </c>
    </row>
    <row r="56" spans="1:11" x14ac:dyDescent="0.2">
      <c r="A56" s="17">
        <v>45153</v>
      </c>
      <c r="B56" s="18">
        <v>1.3767</v>
      </c>
      <c r="C56" s="18">
        <v>0.16533600000000001</v>
      </c>
      <c r="D56" s="18">
        <v>0.13930000000000001</v>
      </c>
      <c r="E56" s="18">
        <v>0.42370000000000002</v>
      </c>
      <c r="F56" s="18">
        <v>0.1183</v>
      </c>
      <c r="G56" s="18">
        <v>3.5314999999999999E-2</v>
      </c>
      <c r="H56" s="18">
        <v>0.43905699999999998</v>
      </c>
      <c r="I56" s="18">
        <v>8.1500000000000003E-2</v>
      </c>
      <c r="J56" s="18">
        <v>9.5600000000000004E-2</v>
      </c>
      <c r="K56" s="18">
        <v>0.35320000000000001</v>
      </c>
    </row>
    <row r="57" spans="1:11" x14ac:dyDescent="0.2">
      <c r="A57" s="17">
        <v>45154</v>
      </c>
      <c r="B57" s="18">
        <v>1.3507</v>
      </c>
      <c r="C57" s="18">
        <v>0.161056</v>
      </c>
      <c r="D57" s="18">
        <v>0.13500000000000001</v>
      </c>
      <c r="E57" s="18">
        <v>0.41544999999999999</v>
      </c>
      <c r="F57" s="18">
        <v>0.114</v>
      </c>
      <c r="G57" s="18">
        <v>3.4943000000000002E-2</v>
      </c>
      <c r="H57" s="18">
        <v>0.43452000000000002</v>
      </c>
      <c r="I57" s="18">
        <v>8.1500000000000003E-2</v>
      </c>
      <c r="J57" s="18">
        <v>9.1600000000000001E-2</v>
      </c>
      <c r="K57" s="18">
        <v>0.34699999999999998</v>
      </c>
    </row>
    <row r="58" spans="1:11" x14ac:dyDescent="0.2">
      <c r="A58" s="17">
        <v>45155</v>
      </c>
      <c r="B58" s="18">
        <v>1.3398000000000001</v>
      </c>
      <c r="C58" s="18">
        <v>0.157273</v>
      </c>
      <c r="D58" s="18">
        <v>0.1225</v>
      </c>
      <c r="E58" s="18">
        <v>0.40300000000000002</v>
      </c>
      <c r="F58" s="18">
        <v>0.115</v>
      </c>
      <c r="G58" s="18">
        <v>3.5035999999999998E-2</v>
      </c>
      <c r="H58" s="18">
        <v>0.43310100000000001</v>
      </c>
      <c r="I58" s="18">
        <v>8.0500000000000002E-2</v>
      </c>
      <c r="J58" s="18">
        <v>9.0399999999999994E-2</v>
      </c>
      <c r="K58" s="18">
        <v>0.33839999999999998</v>
      </c>
    </row>
    <row r="59" spans="1:11" x14ac:dyDescent="0.2">
      <c r="A59" s="17">
        <v>45156</v>
      </c>
      <c r="B59" s="18">
        <v>1.3322000000000001</v>
      </c>
      <c r="C59" s="18">
        <v>0.15518299999999999</v>
      </c>
      <c r="D59" s="18">
        <v>0.1128</v>
      </c>
      <c r="E59" s="18">
        <v>0.40453</v>
      </c>
      <c r="F59" s="18">
        <v>0.1067</v>
      </c>
      <c r="G59" s="18">
        <v>3.5408000000000002E-2</v>
      </c>
      <c r="H59" s="18">
        <v>0.43265199999999998</v>
      </c>
      <c r="I59" s="18">
        <v>8.2199999999999995E-2</v>
      </c>
      <c r="J59" s="18">
        <v>9.1800000000000007E-2</v>
      </c>
      <c r="K59" s="18">
        <v>0.34410000000000002</v>
      </c>
    </row>
    <row r="60" spans="1:11" x14ac:dyDescent="0.2">
      <c r="A60" s="17">
        <v>45159</v>
      </c>
      <c r="B60" s="18">
        <v>1.3468</v>
      </c>
      <c r="C60" s="18">
        <v>0.15637699999999999</v>
      </c>
      <c r="D60" s="18">
        <v>0.1105</v>
      </c>
      <c r="E60" s="18">
        <v>0.40828999999999999</v>
      </c>
      <c r="F60" s="18">
        <v>0.1095</v>
      </c>
      <c r="G60" s="18">
        <v>3.5408000000000002E-2</v>
      </c>
      <c r="H60" s="18">
        <v>0.46930300000000003</v>
      </c>
      <c r="I60" s="18">
        <v>8.1000000000000003E-2</v>
      </c>
      <c r="J60" s="18">
        <v>9.3600000000000003E-2</v>
      </c>
      <c r="K60" s="18">
        <v>0.34510000000000002</v>
      </c>
    </row>
    <row r="61" spans="1:11" x14ac:dyDescent="0.2">
      <c r="A61" s="17">
        <v>45160</v>
      </c>
      <c r="B61" s="18">
        <v>1.3425</v>
      </c>
      <c r="C61" s="18">
        <v>0.15587899999999999</v>
      </c>
      <c r="D61" s="18">
        <v>0.1095</v>
      </c>
      <c r="E61" s="18">
        <v>0.41316999999999998</v>
      </c>
      <c r="F61" s="18">
        <v>0.1079</v>
      </c>
      <c r="G61" s="18">
        <v>3.5314999999999999E-2</v>
      </c>
      <c r="H61" s="18">
        <v>0.45632299999999998</v>
      </c>
      <c r="I61" s="18">
        <v>7.8200000000000006E-2</v>
      </c>
      <c r="J61" s="18">
        <v>9.2499999999999999E-2</v>
      </c>
      <c r="K61" s="18">
        <v>0.34050000000000002</v>
      </c>
    </row>
    <row r="62" spans="1:11" x14ac:dyDescent="0.2">
      <c r="A62" s="17">
        <v>45161</v>
      </c>
      <c r="B62" s="18">
        <v>1.3552</v>
      </c>
      <c r="C62" s="18">
        <v>0.16175200000000001</v>
      </c>
      <c r="D62" s="18">
        <v>0.11749999999999999</v>
      </c>
      <c r="E62" s="18">
        <v>0.42754999999999999</v>
      </c>
      <c r="F62" s="18">
        <v>0.1084</v>
      </c>
      <c r="G62" s="18">
        <v>3.5594000000000001E-2</v>
      </c>
      <c r="H62" s="18">
        <v>0.47079199999999999</v>
      </c>
      <c r="I62" s="18">
        <v>7.8700000000000006E-2</v>
      </c>
      <c r="J62" s="18">
        <v>9.2399999999999996E-2</v>
      </c>
      <c r="K62" s="18">
        <v>0.3463</v>
      </c>
    </row>
    <row r="63" spans="1:11" x14ac:dyDescent="0.2">
      <c r="A63" s="17">
        <v>45162</v>
      </c>
      <c r="B63" s="18">
        <v>1.3184</v>
      </c>
      <c r="C63" s="18">
        <v>0.15637699999999999</v>
      </c>
      <c r="D63" s="18">
        <v>0.1055</v>
      </c>
      <c r="E63" s="18">
        <v>0.40693000000000001</v>
      </c>
      <c r="F63" s="18">
        <v>0.10639999999999999</v>
      </c>
      <c r="G63" s="18">
        <v>3.5035999999999998E-2</v>
      </c>
      <c r="H63" s="18">
        <v>0.47126200000000001</v>
      </c>
      <c r="I63" s="18">
        <v>7.6100000000000001E-2</v>
      </c>
      <c r="J63" s="18">
        <v>9.3700000000000006E-2</v>
      </c>
      <c r="K63" s="18">
        <v>0.33850000000000002</v>
      </c>
    </row>
    <row r="64" spans="1:11" x14ac:dyDescent="0.2">
      <c r="A64" s="17">
        <v>45163</v>
      </c>
      <c r="B64" s="18">
        <v>1.3326</v>
      </c>
      <c r="C64" s="18">
        <v>0.15826799999999999</v>
      </c>
      <c r="D64" s="18">
        <v>0.1055</v>
      </c>
      <c r="E64" s="18">
        <v>0.41603000000000001</v>
      </c>
      <c r="F64" s="18">
        <v>0.10829999999999999</v>
      </c>
      <c r="G64" s="18">
        <v>3.5314999999999999E-2</v>
      </c>
      <c r="H64" s="18">
        <v>0.45982099999999998</v>
      </c>
      <c r="I64" s="18">
        <v>7.7200000000000005E-2</v>
      </c>
      <c r="J64" s="18">
        <v>9.2499999999999999E-2</v>
      </c>
      <c r="K64" s="18">
        <v>0.34720000000000001</v>
      </c>
    </row>
    <row r="65" spans="1:11" x14ac:dyDescent="0.2">
      <c r="A65" s="17">
        <v>45166</v>
      </c>
      <c r="B65" s="18">
        <v>1.3313999999999999</v>
      </c>
      <c r="C65" s="18">
        <v>0.15637699999999999</v>
      </c>
      <c r="D65" s="18">
        <v>0.1062</v>
      </c>
      <c r="E65" s="18">
        <v>0.41805999999999999</v>
      </c>
      <c r="F65" s="18">
        <v>0.11020000000000001</v>
      </c>
      <c r="G65" s="18">
        <v>3.5779999999999999E-2</v>
      </c>
      <c r="H65" s="18">
        <v>0.46798400000000001</v>
      </c>
      <c r="I65" s="18">
        <v>7.7200000000000005E-2</v>
      </c>
      <c r="J65" s="18">
        <v>9.4500000000000001E-2</v>
      </c>
      <c r="K65" s="18">
        <v>0.34689999999999999</v>
      </c>
    </row>
    <row r="66" spans="1:11" x14ac:dyDescent="0.2">
      <c r="A66" s="17">
        <v>45167</v>
      </c>
      <c r="B66" s="18">
        <v>1.3491</v>
      </c>
      <c r="C66" s="18">
        <v>0.159662</v>
      </c>
      <c r="D66" s="18">
        <v>0.1368</v>
      </c>
      <c r="E66" s="18">
        <v>0.42998999999999998</v>
      </c>
      <c r="F66" s="18">
        <v>0.1089</v>
      </c>
      <c r="G66" s="18">
        <v>3.6708999999999999E-2</v>
      </c>
      <c r="H66" s="18">
        <v>0.48745899999999998</v>
      </c>
      <c r="I66" s="18">
        <v>7.9399999999999998E-2</v>
      </c>
      <c r="J66" s="18">
        <v>9.8900000000000002E-2</v>
      </c>
      <c r="K66" s="18">
        <v>0.36969999999999997</v>
      </c>
    </row>
    <row r="67" spans="1:11" x14ac:dyDescent="0.2">
      <c r="A67" s="17">
        <v>45168</v>
      </c>
      <c r="B67" s="18">
        <v>1.3507</v>
      </c>
      <c r="C67" s="18">
        <v>0.15797</v>
      </c>
      <c r="D67" s="18">
        <v>0.13469999999999999</v>
      </c>
      <c r="E67" s="18">
        <v>0.43467</v>
      </c>
      <c r="F67" s="18">
        <v>0.1067</v>
      </c>
      <c r="G67" s="18">
        <v>3.6988E-2</v>
      </c>
      <c r="H67" s="18">
        <v>0.492255</v>
      </c>
      <c r="I67" s="18">
        <v>8.1699999999999995E-2</v>
      </c>
      <c r="J67" s="18">
        <v>0.1012</v>
      </c>
      <c r="K67" s="18">
        <v>0.37469999999999998</v>
      </c>
    </row>
    <row r="68" spans="1:11" x14ac:dyDescent="0.2">
      <c r="A68" s="17">
        <v>45169</v>
      </c>
      <c r="B68" s="18">
        <v>1.3801000000000001</v>
      </c>
      <c r="C68" s="18">
        <v>0.157472</v>
      </c>
      <c r="D68" s="18">
        <v>0.12570000000000001</v>
      </c>
      <c r="E68" s="18">
        <v>0.43368000000000001</v>
      </c>
      <c r="F68" s="18">
        <v>0.1027</v>
      </c>
      <c r="G68" s="18">
        <v>3.7081000000000003E-2</v>
      </c>
      <c r="H68" s="18">
        <v>0.49316399999999999</v>
      </c>
      <c r="I68" s="18">
        <v>8.1799999999999998E-2</v>
      </c>
      <c r="J68" s="18">
        <v>0.10349999999999999</v>
      </c>
      <c r="K68" s="18">
        <v>0.37069999999999997</v>
      </c>
    </row>
    <row r="69" spans="1:11" x14ac:dyDescent="0.2">
      <c r="A69" s="17">
        <v>45170</v>
      </c>
      <c r="B69" s="18">
        <v>1.3812</v>
      </c>
      <c r="C69" s="18">
        <v>0.15657599999999999</v>
      </c>
      <c r="D69" s="18">
        <v>0.12</v>
      </c>
      <c r="E69" s="18">
        <v>0.43987999999999999</v>
      </c>
      <c r="F69" s="18">
        <v>0.11</v>
      </c>
      <c r="G69" s="18">
        <v>3.7081000000000003E-2</v>
      </c>
      <c r="H69" s="18">
        <v>0.484711</v>
      </c>
      <c r="I69" s="18">
        <v>8.4599999999999995E-2</v>
      </c>
      <c r="J69" s="18">
        <v>0.10440000000000001</v>
      </c>
      <c r="K69" s="18">
        <v>0.37090000000000001</v>
      </c>
    </row>
    <row r="70" spans="1:11" x14ac:dyDescent="0.2">
      <c r="A70" s="17">
        <v>45174</v>
      </c>
      <c r="B70" s="18">
        <v>1.3727</v>
      </c>
      <c r="C70" s="18">
        <v>0.15299299999999999</v>
      </c>
      <c r="D70" s="18">
        <v>0.12</v>
      </c>
      <c r="E70" s="18">
        <v>0.44868000000000002</v>
      </c>
      <c r="F70" s="18">
        <v>0.1081</v>
      </c>
      <c r="G70" s="18">
        <v>3.7173999999999999E-2</v>
      </c>
      <c r="H70" s="18">
        <v>0.485101</v>
      </c>
      <c r="I70" s="18">
        <v>8.1900000000000001E-2</v>
      </c>
      <c r="J70" s="18">
        <v>0.1046</v>
      </c>
      <c r="K70" s="18">
        <v>0.38579999999999998</v>
      </c>
    </row>
    <row r="71" spans="1:11" x14ac:dyDescent="0.2">
      <c r="A71" s="17">
        <v>45175</v>
      </c>
      <c r="B71" s="18">
        <v>1.3535999999999999</v>
      </c>
      <c r="C71" s="18">
        <v>0.15359</v>
      </c>
      <c r="D71" s="18">
        <v>0.1206</v>
      </c>
      <c r="E71" s="18">
        <v>0.44575999999999999</v>
      </c>
      <c r="F71" s="18">
        <v>0.10580000000000001</v>
      </c>
      <c r="G71" s="18">
        <v>3.7637999999999998E-2</v>
      </c>
      <c r="H71" s="18">
        <v>0.470281</v>
      </c>
      <c r="I71" s="18">
        <v>8.1900000000000001E-2</v>
      </c>
      <c r="J71" s="18">
        <v>9.6299999999999997E-2</v>
      </c>
      <c r="K71" s="18">
        <v>0.39290000000000003</v>
      </c>
    </row>
    <row r="72" spans="1:11" x14ac:dyDescent="0.2">
      <c r="A72" s="17">
        <v>45176</v>
      </c>
      <c r="B72" s="18">
        <v>1.3785000000000001</v>
      </c>
      <c r="C72" s="18">
        <v>0.15229599999999999</v>
      </c>
      <c r="D72" s="18">
        <v>0.1236</v>
      </c>
      <c r="E72" s="18">
        <v>0.44313999999999998</v>
      </c>
      <c r="F72" s="18">
        <v>0.1008</v>
      </c>
      <c r="G72" s="18">
        <v>3.7824000000000003E-2</v>
      </c>
      <c r="H72" s="18">
        <v>0.46208700000000003</v>
      </c>
      <c r="I72" s="18">
        <v>8.0799999999999997E-2</v>
      </c>
      <c r="J72" s="18">
        <v>9.7199999999999995E-2</v>
      </c>
      <c r="K72" s="18">
        <v>0.38009999999999999</v>
      </c>
    </row>
    <row r="73" spans="1:11" x14ac:dyDescent="0.2">
      <c r="A73" s="17">
        <v>45177</v>
      </c>
      <c r="B73" s="18">
        <v>1.3823000000000001</v>
      </c>
      <c r="C73" s="18">
        <v>0.15229599999999999</v>
      </c>
      <c r="D73" s="18">
        <v>0.1091</v>
      </c>
      <c r="E73" s="18">
        <v>0.44280000000000003</v>
      </c>
      <c r="F73" s="18">
        <v>0.1004</v>
      </c>
      <c r="G73" s="18">
        <v>3.7545000000000002E-2</v>
      </c>
      <c r="H73" s="18">
        <v>0.45540199999999997</v>
      </c>
      <c r="I73" s="18">
        <v>8.1799999999999998E-2</v>
      </c>
      <c r="J73" s="18">
        <v>9.3899999999999997E-2</v>
      </c>
      <c r="K73" s="18">
        <v>0.37680000000000002</v>
      </c>
    </row>
    <row r="74" spans="1:11" x14ac:dyDescent="0.2">
      <c r="A74" s="17">
        <v>45180</v>
      </c>
      <c r="B74" s="18">
        <v>1.431</v>
      </c>
      <c r="C74" s="18">
        <v>0.154088</v>
      </c>
      <c r="D74" s="18">
        <v>0.1007</v>
      </c>
      <c r="E74" s="18">
        <v>0.44535999999999998</v>
      </c>
      <c r="F74" s="18">
        <v>0.1033</v>
      </c>
      <c r="G74" s="18">
        <v>3.7824000000000003E-2</v>
      </c>
      <c r="H74" s="18">
        <v>0.45146399999999998</v>
      </c>
      <c r="I74" s="18">
        <v>8.1199999999999994E-2</v>
      </c>
      <c r="J74" s="18">
        <v>9.4399999999999998E-2</v>
      </c>
      <c r="K74" s="18">
        <v>0.38019999999999998</v>
      </c>
    </row>
    <row r="75" spans="1:11" x14ac:dyDescent="0.2">
      <c r="A75" s="17">
        <v>45181</v>
      </c>
      <c r="B75" s="18">
        <v>1.4123000000000001</v>
      </c>
      <c r="C75" s="18">
        <v>0.153889</v>
      </c>
      <c r="D75" s="18">
        <v>0.1016</v>
      </c>
      <c r="E75" s="18">
        <v>0.43469000000000002</v>
      </c>
      <c r="F75" s="18">
        <v>0.1057</v>
      </c>
      <c r="G75" s="18">
        <v>3.7637999999999998E-2</v>
      </c>
      <c r="H75" s="18">
        <v>0.44838600000000001</v>
      </c>
      <c r="I75" s="18">
        <v>8.6900000000000005E-2</v>
      </c>
      <c r="J75" s="18">
        <v>9.5799999999999996E-2</v>
      </c>
      <c r="K75" s="18">
        <v>0.38969999999999999</v>
      </c>
    </row>
    <row r="76" spans="1:11" x14ac:dyDescent="0.2">
      <c r="A76" s="17">
        <v>45182</v>
      </c>
      <c r="B76" s="18">
        <v>1.4484999999999999</v>
      </c>
      <c r="C76" s="18">
        <v>0.149509</v>
      </c>
      <c r="D76" s="18">
        <v>9.8900000000000002E-2</v>
      </c>
      <c r="E76" s="18">
        <v>0.41224</v>
      </c>
      <c r="F76" s="18">
        <v>0.1007</v>
      </c>
      <c r="G76" s="18">
        <v>3.7266000000000001E-2</v>
      </c>
      <c r="H76" s="18">
        <v>0.45453199999999999</v>
      </c>
      <c r="I76" s="18">
        <v>8.2699999999999996E-2</v>
      </c>
      <c r="J76" s="18">
        <v>9.2899999999999996E-2</v>
      </c>
      <c r="K76" s="18">
        <v>0.36820000000000003</v>
      </c>
    </row>
    <row r="77" spans="1:11" x14ac:dyDescent="0.2">
      <c r="A77" s="17">
        <v>45183</v>
      </c>
      <c r="B77" s="18">
        <v>1.4472</v>
      </c>
      <c r="C77" s="18">
        <v>0.155581</v>
      </c>
      <c r="D77" s="18">
        <v>0.1</v>
      </c>
      <c r="E77" s="18">
        <v>0.40049000000000001</v>
      </c>
      <c r="F77" s="18">
        <v>0.1038</v>
      </c>
      <c r="G77" s="18">
        <v>3.7359000000000003E-2</v>
      </c>
      <c r="H77" s="18">
        <v>0.45549200000000001</v>
      </c>
      <c r="I77" s="18">
        <v>8.6599999999999996E-2</v>
      </c>
      <c r="J77" s="18">
        <v>9.1600000000000001E-2</v>
      </c>
      <c r="K77" s="18">
        <v>0.35709999999999997</v>
      </c>
    </row>
    <row r="78" spans="1:11" x14ac:dyDescent="0.2">
      <c r="A78" s="17">
        <v>45184</v>
      </c>
      <c r="B78" s="18">
        <v>1.4038999999999999</v>
      </c>
      <c r="C78" s="18">
        <v>0.151201</v>
      </c>
      <c r="D78" s="18">
        <v>9.8000000000000004E-2</v>
      </c>
      <c r="E78" s="18">
        <v>0.39694000000000002</v>
      </c>
      <c r="F78" s="18">
        <v>0.1043</v>
      </c>
      <c r="G78" s="18">
        <v>3.6523E-2</v>
      </c>
      <c r="H78" s="18">
        <v>0.438693</v>
      </c>
      <c r="I78" s="18">
        <v>8.3099999999999993E-2</v>
      </c>
      <c r="J78" s="18">
        <v>9.1600000000000001E-2</v>
      </c>
      <c r="K78" s="18">
        <v>0.36320000000000002</v>
      </c>
    </row>
    <row r="79" spans="1:11" x14ac:dyDescent="0.2">
      <c r="A79" s="17">
        <v>45187</v>
      </c>
      <c r="B79" s="18">
        <v>1.3997999999999999</v>
      </c>
      <c r="C79" s="18">
        <v>0.14970800000000001</v>
      </c>
      <c r="D79" s="18">
        <v>9.7900000000000001E-2</v>
      </c>
      <c r="E79" s="18">
        <v>0.39439999999999997</v>
      </c>
      <c r="F79" s="18">
        <v>0.1031</v>
      </c>
      <c r="G79" s="18">
        <v>3.6708999999999999E-2</v>
      </c>
      <c r="H79" s="18">
        <v>0.43935299999999999</v>
      </c>
      <c r="I79" s="18">
        <v>8.3000000000000004E-2</v>
      </c>
      <c r="J79" s="18">
        <v>8.8900000000000007E-2</v>
      </c>
      <c r="K79" s="18">
        <v>0.33450000000000002</v>
      </c>
    </row>
    <row r="80" spans="1:11" x14ac:dyDescent="0.2">
      <c r="A80" s="17">
        <v>45188</v>
      </c>
      <c r="B80" s="18">
        <v>1.3763000000000001</v>
      </c>
      <c r="C80" s="18">
        <v>0.15020600000000001</v>
      </c>
      <c r="D80" s="18">
        <v>9.5600000000000004E-2</v>
      </c>
      <c r="E80" s="18">
        <v>0.3962</v>
      </c>
      <c r="F80" s="18">
        <v>8.5500000000000007E-2</v>
      </c>
      <c r="G80" s="18">
        <v>3.7173999999999999E-2</v>
      </c>
      <c r="H80" s="18">
        <v>0.434896</v>
      </c>
      <c r="I80" s="18">
        <v>8.0699999999999994E-2</v>
      </c>
      <c r="J80" s="18">
        <v>0.09</v>
      </c>
      <c r="K80" s="18">
        <v>0.33960000000000001</v>
      </c>
    </row>
    <row r="81" spans="1:11" x14ac:dyDescent="0.2">
      <c r="A81" s="17">
        <v>45189</v>
      </c>
      <c r="B81" s="18">
        <v>1.3529</v>
      </c>
      <c r="C81" s="18">
        <v>0.14582600000000001</v>
      </c>
      <c r="D81" s="18">
        <v>9.2899999999999996E-2</v>
      </c>
      <c r="E81" s="18">
        <v>0.38629999999999998</v>
      </c>
      <c r="F81" s="18">
        <v>8.8200000000000001E-2</v>
      </c>
      <c r="G81" s="18">
        <v>3.6802000000000001E-2</v>
      </c>
      <c r="H81" s="18">
        <v>0.422095</v>
      </c>
      <c r="I81" s="18">
        <v>8.1000000000000003E-2</v>
      </c>
      <c r="J81" s="18">
        <v>9.0300000000000005E-2</v>
      </c>
      <c r="K81" s="18">
        <v>0.3332</v>
      </c>
    </row>
    <row r="82" spans="1:11" x14ac:dyDescent="0.2">
      <c r="A82" s="17">
        <v>45190</v>
      </c>
      <c r="B82" s="18">
        <v>1.2932999999999999</v>
      </c>
      <c r="C82" s="18">
        <v>0.14383499999999999</v>
      </c>
      <c r="D82" s="18">
        <v>9.1600000000000001E-2</v>
      </c>
      <c r="E82" s="18">
        <v>0.38414999999999999</v>
      </c>
      <c r="F82" s="18">
        <v>8.4500000000000006E-2</v>
      </c>
      <c r="G82" s="18">
        <v>3.5964999999999997E-2</v>
      </c>
      <c r="H82" s="18">
        <v>0.409883</v>
      </c>
      <c r="I82" s="18">
        <v>7.9500000000000001E-2</v>
      </c>
      <c r="J82" s="18">
        <v>8.6300000000000002E-2</v>
      </c>
      <c r="K82" s="18">
        <v>0.31730000000000003</v>
      </c>
    </row>
    <row r="83" spans="1:11" x14ac:dyDescent="0.2">
      <c r="A83" s="17">
        <v>45191</v>
      </c>
      <c r="B83" s="18">
        <v>1.2911999999999999</v>
      </c>
      <c r="C83" s="18">
        <v>0.13985400000000001</v>
      </c>
      <c r="D83" s="18">
        <v>8.6699999999999999E-2</v>
      </c>
      <c r="E83" s="18">
        <v>0.37980999999999998</v>
      </c>
      <c r="F83" s="18">
        <v>8.5300000000000001E-2</v>
      </c>
      <c r="G83" s="18">
        <v>3.6151000000000003E-2</v>
      </c>
      <c r="H83" s="18">
        <v>0.41580899999999998</v>
      </c>
      <c r="I83" s="18">
        <v>8.14E-2</v>
      </c>
      <c r="J83" s="18">
        <v>8.6900000000000005E-2</v>
      </c>
      <c r="K83" s="18">
        <v>0.31609999999999999</v>
      </c>
    </row>
    <row r="84" spans="1:11" x14ac:dyDescent="0.2">
      <c r="A84" s="17">
        <v>45194</v>
      </c>
      <c r="B84" s="18">
        <v>1.3127</v>
      </c>
      <c r="C84" s="18">
        <v>0.13836000000000001</v>
      </c>
      <c r="D84" s="18">
        <v>8.5599999999999996E-2</v>
      </c>
      <c r="E84" s="18">
        <v>0.38479999999999998</v>
      </c>
      <c r="F84" s="18">
        <v>8.3500000000000005E-2</v>
      </c>
      <c r="G84" s="18">
        <v>3.5594000000000001E-2</v>
      </c>
      <c r="H84" s="18">
        <v>0.42192499999999999</v>
      </c>
      <c r="I84" s="18">
        <v>8.3799999999999999E-2</v>
      </c>
      <c r="J84" s="18">
        <v>8.5999999999999993E-2</v>
      </c>
      <c r="K84" s="18">
        <v>0.31359999999999999</v>
      </c>
    </row>
    <row r="85" spans="1:11" x14ac:dyDescent="0.2">
      <c r="A85" s="17">
        <v>45195</v>
      </c>
      <c r="B85" s="18">
        <v>1.2598</v>
      </c>
      <c r="C85" s="18">
        <v>0.13696700000000001</v>
      </c>
      <c r="D85" s="18">
        <v>8.2500000000000004E-2</v>
      </c>
      <c r="E85" s="18">
        <v>0.37924999999999998</v>
      </c>
      <c r="F85" s="18">
        <v>8.4099999999999994E-2</v>
      </c>
      <c r="G85" s="18">
        <v>3.4664E-2</v>
      </c>
      <c r="H85" s="18">
        <v>0.41881699999999999</v>
      </c>
      <c r="I85" s="18">
        <v>8.4199999999999997E-2</v>
      </c>
      <c r="J85" s="18">
        <v>8.3400000000000002E-2</v>
      </c>
      <c r="K85" s="18">
        <v>0.30449999999999999</v>
      </c>
    </row>
    <row r="86" spans="1:11" x14ac:dyDescent="0.2">
      <c r="A86" s="17">
        <v>45196</v>
      </c>
      <c r="B86" s="18">
        <v>1.2598</v>
      </c>
      <c r="C86" s="18">
        <v>0.139157</v>
      </c>
      <c r="D86" s="18">
        <v>8.0100000000000005E-2</v>
      </c>
      <c r="E86" s="18">
        <v>0.37758999999999998</v>
      </c>
      <c r="F86" s="18">
        <v>8.4599999999999995E-2</v>
      </c>
      <c r="G86" s="18">
        <v>3.4386E-2</v>
      </c>
      <c r="H86" s="18">
        <v>0.42438300000000001</v>
      </c>
      <c r="I86" s="18">
        <v>8.5599999999999996E-2</v>
      </c>
      <c r="J86" s="18">
        <v>8.4900000000000003E-2</v>
      </c>
      <c r="K86" s="18">
        <v>0.30559999999999998</v>
      </c>
    </row>
    <row r="87" spans="1:11" x14ac:dyDescent="0.2">
      <c r="A87" s="17">
        <v>45197</v>
      </c>
      <c r="B87" s="18">
        <v>1.2598</v>
      </c>
      <c r="C87" s="18">
        <v>0.143736</v>
      </c>
      <c r="D87" s="18">
        <v>8.5699999999999998E-2</v>
      </c>
      <c r="E87" s="18">
        <v>0.37635999999999997</v>
      </c>
      <c r="F87" s="18">
        <v>8.9099999999999999E-2</v>
      </c>
      <c r="G87" s="18">
        <v>3.4570999999999998E-2</v>
      </c>
      <c r="H87" s="18">
        <v>0.430589</v>
      </c>
      <c r="I87" s="18">
        <v>8.4199999999999997E-2</v>
      </c>
      <c r="J87" s="18">
        <v>8.5599999999999996E-2</v>
      </c>
      <c r="K87" s="18">
        <v>0.30709999999999998</v>
      </c>
    </row>
    <row r="88" spans="1:11" x14ac:dyDescent="0.2">
      <c r="A88" s="17">
        <v>45198</v>
      </c>
      <c r="B88" s="18">
        <v>1.2712000000000001</v>
      </c>
      <c r="C88" s="18">
        <v>0.136569</v>
      </c>
      <c r="D88" s="18">
        <v>8.5000000000000006E-2</v>
      </c>
      <c r="E88" s="18">
        <v>0.37759999999999999</v>
      </c>
      <c r="F88" s="18">
        <v>9.0399999999999994E-2</v>
      </c>
      <c r="G88" s="18">
        <v>3.4757000000000003E-2</v>
      </c>
      <c r="H88" s="18">
        <v>0.43468600000000002</v>
      </c>
      <c r="I88" s="18">
        <v>8.2100000000000006E-2</v>
      </c>
      <c r="J88" s="18">
        <v>8.9099999999999999E-2</v>
      </c>
      <c r="K88" s="18">
        <v>0.31390000000000001</v>
      </c>
    </row>
    <row r="89" spans="1:11" x14ac:dyDescent="0.2">
      <c r="A89" s="17">
        <v>45201</v>
      </c>
      <c r="B89" s="18">
        <v>1.2946</v>
      </c>
      <c r="C89" s="18">
        <v>0.135772</v>
      </c>
      <c r="D89" s="18">
        <v>8.5300000000000001E-2</v>
      </c>
      <c r="E89" s="18">
        <v>0.38033</v>
      </c>
      <c r="F89" s="18">
        <v>8.7900000000000006E-2</v>
      </c>
      <c r="G89" s="18">
        <v>3.4570999999999998E-2</v>
      </c>
      <c r="H89" s="18">
        <v>0.44750699999999999</v>
      </c>
      <c r="I89" s="18">
        <v>7.8799999999999995E-2</v>
      </c>
      <c r="J89" s="18">
        <v>8.7400000000000005E-2</v>
      </c>
      <c r="K89" s="18">
        <v>0.3054</v>
      </c>
    </row>
    <row r="90" spans="1:11" x14ac:dyDescent="0.2">
      <c r="A90" s="17">
        <v>45202</v>
      </c>
      <c r="B90" s="18">
        <v>1.2472000000000001</v>
      </c>
      <c r="C90" s="18">
        <v>0.12681400000000001</v>
      </c>
      <c r="D90" s="18">
        <v>7.2999999999999995E-2</v>
      </c>
      <c r="E90" s="18">
        <v>0.37674999999999997</v>
      </c>
      <c r="F90" s="18">
        <v>8.6099999999999996E-2</v>
      </c>
      <c r="G90" s="18">
        <v>3.4106999999999998E-2</v>
      </c>
      <c r="H90" s="18">
        <v>0.43486599999999997</v>
      </c>
      <c r="I90" s="18">
        <v>7.7499999999999999E-2</v>
      </c>
      <c r="J90" s="18">
        <v>8.5400000000000004E-2</v>
      </c>
      <c r="K90" s="18">
        <v>0.29320000000000002</v>
      </c>
    </row>
    <row r="91" spans="1:11" x14ac:dyDescent="0.2">
      <c r="A91" s="17">
        <v>45203</v>
      </c>
      <c r="B91" s="18">
        <v>1.27</v>
      </c>
      <c r="C91" s="18">
        <v>0.130298</v>
      </c>
      <c r="D91" s="18">
        <v>7.5399999999999995E-2</v>
      </c>
      <c r="E91" s="18">
        <v>0.37690000000000001</v>
      </c>
      <c r="F91" s="18">
        <v>8.8300000000000003E-2</v>
      </c>
      <c r="G91" s="18">
        <v>3.3641999999999998E-2</v>
      </c>
      <c r="H91" s="18">
        <v>0.44010199999999999</v>
      </c>
      <c r="I91" s="18">
        <v>7.4200000000000002E-2</v>
      </c>
      <c r="J91" s="18">
        <v>8.6900000000000005E-2</v>
      </c>
      <c r="K91" s="18">
        <v>0.2944</v>
      </c>
    </row>
    <row r="92" spans="1:11" x14ac:dyDescent="0.2">
      <c r="A92" s="17">
        <v>45204</v>
      </c>
      <c r="B92" s="18">
        <v>1.2596000000000001</v>
      </c>
      <c r="C92" s="18">
        <v>0.13238800000000001</v>
      </c>
      <c r="D92" s="18">
        <v>7.4200000000000002E-2</v>
      </c>
      <c r="E92" s="18">
        <v>0.37258999999999998</v>
      </c>
      <c r="F92" s="18">
        <v>8.6599999999999996E-2</v>
      </c>
      <c r="G92" s="18">
        <v>3.2898999999999998E-2</v>
      </c>
      <c r="H92" s="18">
        <v>0.44656800000000002</v>
      </c>
      <c r="I92" s="18">
        <v>7.6200000000000004E-2</v>
      </c>
      <c r="J92" s="18">
        <v>8.7400000000000005E-2</v>
      </c>
      <c r="K92" s="18">
        <v>0.28739999999999999</v>
      </c>
    </row>
    <row r="93" spans="1:11" x14ac:dyDescent="0.2">
      <c r="A93" s="17">
        <v>45205</v>
      </c>
      <c r="B93" s="18">
        <v>1.2796000000000001</v>
      </c>
      <c r="C93" s="18">
        <v>0.13199</v>
      </c>
      <c r="D93" s="18">
        <v>8.0799999999999997E-2</v>
      </c>
      <c r="E93" s="18">
        <v>0.38151000000000002</v>
      </c>
      <c r="F93" s="18">
        <v>8.72E-2</v>
      </c>
      <c r="G93" s="18">
        <v>3.3084000000000002E-2</v>
      </c>
      <c r="H93" s="18">
        <v>0.45729999999999998</v>
      </c>
      <c r="I93" s="18">
        <v>7.6399999999999996E-2</v>
      </c>
      <c r="J93" s="18">
        <v>8.6300000000000002E-2</v>
      </c>
      <c r="K93" s="18">
        <v>0.30149999999999999</v>
      </c>
    </row>
    <row r="94" spans="1:11" x14ac:dyDescent="0.2">
      <c r="A94" s="17">
        <v>45208</v>
      </c>
      <c r="B94" s="18">
        <v>1.2826</v>
      </c>
      <c r="C94" s="18">
        <v>0.12631600000000001</v>
      </c>
      <c r="D94" s="18">
        <v>8.3599999999999994E-2</v>
      </c>
      <c r="E94" s="18">
        <v>0.38595000000000002</v>
      </c>
      <c r="F94" s="18">
        <v>8.3400000000000002E-2</v>
      </c>
      <c r="G94" s="18">
        <v>3.3084000000000002E-2</v>
      </c>
      <c r="H94" s="18">
        <v>0.45241399999999998</v>
      </c>
      <c r="I94" s="18">
        <v>7.7700000000000005E-2</v>
      </c>
      <c r="J94" s="18">
        <v>8.6099999999999996E-2</v>
      </c>
      <c r="K94" s="18">
        <v>0.29699999999999999</v>
      </c>
    </row>
    <row r="95" spans="1:11" x14ac:dyDescent="0.2">
      <c r="A95" s="17">
        <v>45209</v>
      </c>
      <c r="B95" s="18">
        <v>1.2948</v>
      </c>
      <c r="C95" s="18">
        <v>0.12840599999999999</v>
      </c>
      <c r="D95" s="18">
        <v>8.4599999999999995E-2</v>
      </c>
      <c r="E95" s="18">
        <v>0.37331999999999999</v>
      </c>
      <c r="F95" s="18">
        <v>8.8300000000000003E-2</v>
      </c>
      <c r="G95" s="18">
        <v>3.3456E-2</v>
      </c>
      <c r="H95" s="18">
        <v>0.45766000000000001</v>
      </c>
      <c r="I95" s="18">
        <v>7.7700000000000005E-2</v>
      </c>
      <c r="J95" s="18">
        <v>8.8200000000000001E-2</v>
      </c>
      <c r="K95" s="18">
        <v>0.30020000000000002</v>
      </c>
    </row>
    <row r="96" spans="1:11" x14ac:dyDescent="0.2">
      <c r="A96" s="17">
        <v>45210</v>
      </c>
      <c r="B96" s="18">
        <v>1.3183</v>
      </c>
      <c r="C96" s="18">
        <v>0.125918</v>
      </c>
      <c r="D96" s="18">
        <v>7.9000000000000001E-2</v>
      </c>
      <c r="E96" s="18">
        <v>0.36592999999999998</v>
      </c>
      <c r="F96" s="18">
        <v>8.9700000000000002E-2</v>
      </c>
      <c r="G96" s="18">
        <v>3.3176999999999998E-2</v>
      </c>
      <c r="H96" s="18">
        <v>0.46773300000000001</v>
      </c>
      <c r="I96" s="18">
        <v>7.8E-2</v>
      </c>
      <c r="J96" s="18">
        <v>9.11E-2</v>
      </c>
      <c r="K96" s="18">
        <v>0.30270000000000002</v>
      </c>
    </row>
    <row r="97" spans="1:11" x14ac:dyDescent="0.2">
      <c r="A97" s="17">
        <v>45211</v>
      </c>
      <c r="B97" s="18">
        <v>1.3232999999999999</v>
      </c>
      <c r="C97" s="18">
        <v>0.12542</v>
      </c>
      <c r="D97" s="18">
        <v>7.7799999999999994E-2</v>
      </c>
      <c r="E97" s="18">
        <v>0.36120000000000002</v>
      </c>
      <c r="F97" s="18">
        <v>8.4400000000000003E-2</v>
      </c>
      <c r="G97" s="18">
        <v>3.3176999999999998E-2</v>
      </c>
      <c r="H97" s="18">
        <v>0.46912199999999998</v>
      </c>
      <c r="I97" s="18">
        <v>7.5700000000000003E-2</v>
      </c>
      <c r="J97" s="18">
        <v>9.11E-2</v>
      </c>
      <c r="K97" s="18">
        <v>0.29049999999999998</v>
      </c>
    </row>
    <row r="98" spans="1:11" x14ac:dyDescent="0.2">
      <c r="A98" s="17">
        <v>45212</v>
      </c>
      <c r="B98" s="18">
        <v>1.2979000000000001</v>
      </c>
      <c r="C98" s="18">
        <v>0.12203600000000001</v>
      </c>
      <c r="D98" s="18">
        <v>7.7100000000000002E-2</v>
      </c>
      <c r="E98" s="18">
        <v>0.35568</v>
      </c>
      <c r="F98" s="18">
        <v>8.4699999999999998E-2</v>
      </c>
      <c r="G98" s="18">
        <v>3.2620000000000003E-2</v>
      </c>
      <c r="H98" s="18">
        <v>0.45429199999999997</v>
      </c>
      <c r="I98" s="18">
        <v>7.7100000000000002E-2</v>
      </c>
      <c r="J98" s="18">
        <v>8.6800000000000002E-2</v>
      </c>
      <c r="K98" s="18">
        <v>0.28029999999999999</v>
      </c>
    </row>
    <row r="99" spans="1:11" x14ac:dyDescent="0.2">
      <c r="A99" s="17">
        <v>45215</v>
      </c>
      <c r="B99" s="18">
        <v>1.3254999999999999</v>
      </c>
      <c r="C99" s="18">
        <v>0.123031</v>
      </c>
      <c r="D99" s="18">
        <v>8.1000000000000003E-2</v>
      </c>
      <c r="E99" s="18">
        <v>0.36081999999999997</v>
      </c>
      <c r="F99" s="18">
        <v>8.5199999999999998E-2</v>
      </c>
      <c r="G99" s="18">
        <v>3.3456E-2</v>
      </c>
      <c r="H99" s="18">
        <v>0.46062799999999998</v>
      </c>
      <c r="I99" s="18">
        <v>7.51E-2</v>
      </c>
      <c r="J99" s="18">
        <v>9.7199999999999995E-2</v>
      </c>
      <c r="K99" s="18">
        <v>0.2838</v>
      </c>
    </row>
    <row r="100" spans="1:11" x14ac:dyDescent="0.2">
      <c r="A100" s="17">
        <v>45216</v>
      </c>
      <c r="B100" s="18">
        <v>1.3147</v>
      </c>
      <c r="C100" s="18">
        <v>0.12442499999999999</v>
      </c>
      <c r="D100" s="18">
        <v>8.4500000000000006E-2</v>
      </c>
      <c r="E100" s="18">
        <v>0.35571999999999998</v>
      </c>
      <c r="F100" s="18">
        <v>8.5300000000000001E-2</v>
      </c>
      <c r="G100" s="18">
        <v>3.2433999999999998E-2</v>
      </c>
      <c r="H100" s="18">
        <v>0.43907299999999999</v>
      </c>
      <c r="I100" s="18">
        <v>7.5800000000000006E-2</v>
      </c>
      <c r="J100" s="18">
        <v>9.69E-2</v>
      </c>
      <c r="K100" s="18">
        <v>0.28970000000000001</v>
      </c>
    </row>
    <row r="101" spans="1:11" x14ac:dyDescent="0.2">
      <c r="A101" s="17">
        <v>45217</v>
      </c>
      <c r="B101" s="18">
        <v>1.2813000000000001</v>
      </c>
      <c r="C101" s="18">
        <v>0.11636199999999999</v>
      </c>
      <c r="D101" s="18">
        <v>7.7399999999999997E-2</v>
      </c>
      <c r="E101" s="18">
        <v>0.34619</v>
      </c>
      <c r="F101" s="18">
        <v>7.9100000000000004E-2</v>
      </c>
      <c r="G101" s="18">
        <v>3.1504999999999998E-2</v>
      </c>
      <c r="H101" s="18">
        <v>0.42166500000000001</v>
      </c>
      <c r="I101" s="18">
        <v>7.3800000000000004E-2</v>
      </c>
      <c r="J101" s="18">
        <v>9.6000000000000002E-2</v>
      </c>
      <c r="K101" s="18">
        <v>0.27500000000000002</v>
      </c>
    </row>
    <row r="102" spans="1:11" x14ac:dyDescent="0.2">
      <c r="A102" s="17">
        <v>45218</v>
      </c>
      <c r="B102" s="18">
        <v>1.284</v>
      </c>
      <c r="C102" s="18">
        <v>0.113376</v>
      </c>
      <c r="D102" s="18">
        <v>7.7100000000000002E-2</v>
      </c>
      <c r="E102" s="18">
        <v>0.40177000000000002</v>
      </c>
      <c r="F102" s="18">
        <v>7.6899999999999996E-2</v>
      </c>
      <c r="G102" s="18">
        <v>2.9832000000000001E-2</v>
      </c>
      <c r="H102" s="18">
        <v>0.42071599999999998</v>
      </c>
      <c r="I102" s="18">
        <v>7.3899999999999993E-2</v>
      </c>
      <c r="J102" s="18">
        <v>9.6500000000000002E-2</v>
      </c>
      <c r="K102" s="18">
        <v>0.27489999999999998</v>
      </c>
    </row>
    <row r="103" spans="1:11" x14ac:dyDescent="0.2">
      <c r="A103" s="17">
        <v>45219</v>
      </c>
      <c r="B103" s="18">
        <v>1.2517</v>
      </c>
      <c r="C103" s="18">
        <v>0.109792</v>
      </c>
      <c r="D103" s="18">
        <v>7.7600000000000002E-2</v>
      </c>
      <c r="E103" s="18">
        <v>0.40095999999999998</v>
      </c>
      <c r="F103" s="18">
        <v>7.5800000000000006E-2</v>
      </c>
      <c r="G103" s="18">
        <v>2.9552999999999999E-2</v>
      </c>
      <c r="H103" s="18">
        <v>0.41358099999999998</v>
      </c>
      <c r="I103" s="18">
        <v>7.1599999999999997E-2</v>
      </c>
      <c r="J103" s="18">
        <v>9.4399999999999998E-2</v>
      </c>
      <c r="K103" s="18">
        <v>0.2717</v>
      </c>
    </row>
    <row r="104" spans="1:11" x14ac:dyDescent="0.2">
      <c r="A104" s="17">
        <v>45222</v>
      </c>
      <c r="B104" s="18">
        <v>1.2656000000000001</v>
      </c>
      <c r="C104" s="18">
        <v>0.113276</v>
      </c>
      <c r="D104" s="18">
        <v>8.7499999999999994E-2</v>
      </c>
      <c r="E104" s="18">
        <v>0.40683999999999998</v>
      </c>
      <c r="F104" s="18">
        <v>7.5899999999999995E-2</v>
      </c>
      <c r="G104" s="18">
        <v>2.9666000000000001E-2</v>
      </c>
      <c r="H104" s="18">
        <v>0.42945</v>
      </c>
      <c r="I104" s="18">
        <v>7.0999999999999994E-2</v>
      </c>
      <c r="J104" s="18">
        <v>9.4899999999999998E-2</v>
      </c>
      <c r="K104" s="18">
        <v>0.2636</v>
      </c>
    </row>
    <row r="105" spans="1:11" x14ac:dyDescent="0.2">
      <c r="A105" s="17">
        <v>45223</v>
      </c>
      <c r="B105" s="18">
        <v>1.2856000000000001</v>
      </c>
      <c r="C105" s="18">
        <v>0.113973</v>
      </c>
      <c r="D105" s="18">
        <v>9.7600000000000006E-2</v>
      </c>
      <c r="E105" s="18">
        <v>0.41372999999999999</v>
      </c>
      <c r="F105" s="18">
        <v>8.09E-2</v>
      </c>
      <c r="G105" s="18">
        <v>3.0228999999999999E-2</v>
      </c>
      <c r="H105" s="18">
        <v>0.43632500000000002</v>
      </c>
      <c r="I105" s="18">
        <v>7.0199999999999999E-2</v>
      </c>
      <c r="J105" s="18">
        <v>9.7100000000000006E-2</v>
      </c>
      <c r="K105" s="18">
        <v>0.27450000000000002</v>
      </c>
    </row>
    <row r="106" spans="1:11" x14ac:dyDescent="0.2">
      <c r="A106" s="17">
        <v>45224</v>
      </c>
      <c r="B106" s="18">
        <v>1.2139</v>
      </c>
      <c r="C106" s="18">
        <v>0.112181</v>
      </c>
      <c r="D106" s="18">
        <v>9.4700000000000006E-2</v>
      </c>
      <c r="E106" s="18">
        <v>0.41125</v>
      </c>
      <c r="F106" s="18">
        <v>7.5999999999999998E-2</v>
      </c>
      <c r="G106" s="18">
        <v>3.0134999999999999E-2</v>
      </c>
      <c r="H106" s="18">
        <v>0.41749799999999998</v>
      </c>
      <c r="I106" s="18">
        <v>6.8699999999999997E-2</v>
      </c>
      <c r="J106" s="18">
        <v>9.1899999999999996E-2</v>
      </c>
      <c r="K106" s="18">
        <v>0.25690000000000002</v>
      </c>
    </row>
    <row r="107" spans="1:11" x14ac:dyDescent="0.2">
      <c r="A107" s="17">
        <v>45225</v>
      </c>
      <c r="B107" s="18">
        <v>1.1957</v>
      </c>
      <c r="C107" s="18">
        <v>0.113177</v>
      </c>
      <c r="D107" s="18">
        <v>8.9899999999999994E-2</v>
      </c>
      <c r="E107" s="18">
        <v>0.40354000000000001</v>
      </c>
      <c r="F107" s="18">
        <v>7.6300000000000007E-2</v>
      </c>
      <c r="G107" s="18">
        <v>3.0417E-2</v>
      </c>
      <c r="H107" s="18">
        <v>0.402978</v>
      </c>
      <c r="I107" s="18">
        <v>6.6900000000000001E-2</v>
      </c>
      <c r="J107" s="18">
        <v>9.2999999999999999E-2</v>
      </c>
      <c r="K107" s="18">
        <v>0.25900000000000001</v>
      </c>
    </row>
    <row r="108" spans="1:11" x14ac:dyDescent="0.2">
      <c r="A108" s="17">
        <v>45226</v>
      </c>
      <c r="B108" s="18">
        <v>1.2774000000000001</v>
      </c>
      <c r="C108" s="18">
        <v>0.110788</v>
      </c>
      <c r="D108" s="18">
        <v>8.8599999999999998E-2</v>
      </c>
      <c r="E108" s="18">
        <v>0.39787</v>
      </c>
      <c r="F108" s="18">
        <v>7.4399999999999994E-2</v>
      </c>
      <c r="G108" s="18">
        <v>3.0511E-2</v>
      </c>
      <c r="H108" s="18">
        <v>0.40471699999999999</v>
      </c>
      <c r="I108" s="18">
        <v>6.5500000000000003E-2</v>
      </c>
      <c r="J108" s="18">
        <v>9.2999999999999999E-2</v>
      </c>
      <c r="K108" s="18">
        <v>0.25540000000000002</v>
      </c>
    </row>
    <row r="109" spans="1:11" x14ac:dyDescent="0.2">
      <c r="A109" s="17">
        <v>45229</v>
      </c>
      <c r="B109" s="18">
        <v>1.3270999999999999</v>
      </c>
      <c r="C109" s="18">
        <v>0.11347500000000001</v>
      </c>
      <c r="D109" s="18">
        <v>8.8499999999999995E-2</v>
      </c>
      <c r="E109" s="18">
        <v>0.41008</v>
      </c>
      <c r="F109" s="18">
        <v>7.5200000000000003E-2</v>
      </c>
      <c r="G109" s="18">
        <v>3.0886E-2</v>
      </c>
      <c r="H109" s="18">
        <v>0.41132200000000002</v>
      </c>
      <c r="I109" s="18">
        <v>6.6299999999999998E-2</v>
      </c>
      <c r="J109" s="18">
        <v>9.7000000000000003E-2</v>
      </c>
      <c r="K109" s="18">
        <v>0.25080000000000002</v>
      </c>
    </row>
    <row r="110" spans="1:11" x14ac:dyDescent="0.2">
      <c r="A110" s="17">
        <v>45230</v>
      </c>
      <c r="B110" s="18">
        <v>1.3309</v>
      </c>
      <c r="C110" s="18">
        <v>0.11407299999999999</v>
      </c>
      <c r="D110" s="18">
        <v>8.8099999999999998E-2</v>
      </c>
      <c r="E110" s="18">
        <v>0.41169</v>
      </c>
      <c r="F110" s="18">
        <v>7.2999999999999995E-2</v>
      </c>
      <c r="G110" s="18">
        <v>3.1074000000000001E-2</v>
      </c>
      <c r="H110" s="18">
        <v>0.40751500000000002</v>
      </c>
      <c r="I110" s="18">
        <v>6.6199999999999995E-2</v>
      </c>
      <c r="J110" s="18">
        <v>0.10009999999999999</v>
      </c>
      <c r="K110" s="18">
        <v>0.25369999999999998</v>
      </c>
    </row>
    <row r="111" spans="1:11" x14ac:dyDescent="0.2">
      <c r="A111" s="17">
        <v>45231</v>
      </c>
      <c r="B111" s="18">
        <v>1.37</v>
      </c>
      <c r="C111" s="18">
        <v>0.11248</v>
      </c>
      <c r="D111" s="18">
        <v>8.9200000000000002E-2</v>
      </c>
      <c r="E111" s="18">
        <v>0.42019000000000001</v>
      </c>
      <c r="F111" s="18">
        <v>7.4499999999999997E-2</v>
      </c>
      <c r="G111" s="18">
        <v>3.0417E-2</v>
      </c>
      <c r="H111" s="18">
        <v>0.422954</v>
      </c>
      <c r="I111" s="18">
        <v>6.6500000000000004E-2</v>
      </c>
      <c r="J111" s="18">
        <v>9.9900000000000003E-2</v>
      </c>
      <c r="K111" s="18">
        <v>0.25080000000000002</v>
      </c>
    </row>
    <row r="112" spans="1:11" x14ac:dyDescent="0.2">
      <c r="A112" s="17">
        <v>45232</v>
      </c>
      <c r="B112" s="18">
        <v>1.3807</v>
      </c>
      <c r="C112" s="18">
        <v>0.118452</v>
      </c>
      <c r="D112" s="18">
        <v>9.8599999999999993E-2</v>
      </c>
      <c r="E112" s="18">
        <v>0.42470999999999998</v>
      </c>
      <c r="F112" s="18">
        <v>7.7899999999999997E-2</v>
      </c>
      <c r="G112" s="18">
        <v>3.1448999999999998E-2</v>
      </c>
      <c r="H112" s="18">
        <v>0.43475599999999998</v>
      </c>
      <c r="I112" s="18">
        <v>6.8900000000000003E-2</v>
      </c>
      <c r="J112" s="18">
        <v>0.1043</v>
      </c>
      <c r="K112" s="18">
        <v>0.26050000000000001</v>
      </c>
    </row>
    <row r="113" spans="1:11" x14ac:dyDescent="0.2">
      <c r="A113" s="17">
        <v>45233</v>
      </c>
      <c r="B113" s="18">
        <v>1.3859999999999999</v>
      </c>
      <c r="C113" s="18">
        <v>0.12492300000000001</v>
      </c>
      <c r="D113" s="18">
        <v>9.4100000000000003E-2</v>
      </c>
      <c r="E113" s="18">
        <v>0.43236000000000002</v>
      </c>
      <c r="F113" s="18">
        <v>8.2299999999999998E-2</v>
      </c>
      <c r="G113" s="18">
        <v>3.2481999999999997E-2</v>
      </c>
      <c r="H113" s="18">
        <v>0.449735</v>
      </c>
      <c r="I113" s="18">
        <v>6.8400000000000002E-2</v>
      </c>
      <c r="J113" s="18">
        <v>0.1072</v>
      </c>
      <c r="K113" s="18">
        <v>0.27639999999999998</v>
      </c>
    </row>
    <row r="114" spans="1:11" x14ac:dyDescent="0.2">
      <c r="A114" s="17">
        <v>45236</v>
      </c>
      <c r="B114" s="18">
        <v>1.3974</v>
      </c>
      <c r="C114" s="18">
        <v>0.12203600000000001</v>
      </c>
      <c r="D114" s="18">
        <v>9.2399999999999996E-2</v>
      </c>
      <c r="E114" s="18">
        <v>0.43474000000000002</v>
      </c>
      <c r="F114" s="18">
        <v>7.9699999999999993E-2</v>
      </c>
      <c r="G114" s="18">
        <v>3.2199999999999999E-2</v>
      </c>
      <c r="H114" s="18">
        <v>0.45718999999999999</v>
      </c>
      <c r="I114" s="18">
        <v>6.6500000000000004E-2</v>
      </c>
      <c r="J114" s="18">
        <v>0.10730000000000001</v>
      </c>
      <c r="K114" s="18">
        <v>0.2581</v>
      </c>
    </row>
    <row r="115" spans="1:11" x14ac:dyDescent="0.2">
      <c r="A115" s="17">
        <v>45237</v>
      </c>
      <c r="B115" s="18">
        <v>1.4271</v>
      </c>
      <c r="C115" s="18">
        <v>0.12502199999999999</v>
      </c>
      <c r="D115" s="18">
        <v>9.1800000000000007E-2</v>
      </c>
      <c r="E115" s="18">
        <v>0.43461</v>
      </c>
      <c r="F115" s="18">
        <v>7.8899999999999998E-2</v>
      </c>
      <c r="G115" s="18">
        <v>3.2199999999999999E-2</v>
      </c>
      <c r="H115" s="18">
        <v>0.459229</v>
      </c>
      <c r="I115" s="18">
        <v>6.5000000000000002E-2</v>
      </c>
      <c r="J115" s="18">
        <v>0.1096</v>
      </c>
      <c r="K115" s="18">
        <v>0.26800000000000002</v>
      </c>
    </row>
    <row r="116" spans="1:11" x14ac:dyDescent="0.2">
      <c r="A116" s="17">
        <v>45238</v>
      </c>
      <c r="B116" s="18">
        <v>1.4208000000000001</v>
      </c>
      <c r="C116" s="18">
        <v>0.12731100000000001</v>
      </c>
      <c r="D116" s="18">
        <v>8.5500000000000007E-2</v>
      </c>
      <c r="E116" s="18">
        <v>0.43664999999999998</v>
      </c>
      <c r="F116" s="18">
        <v>7.9200000000000007E-2</v>
      </c>
      <c r="G116" s="18">
        <v>3.2669999999999998E-2</v>
      </c>
      <c r="H116" s="18">
        <v>0.46541500000000002</v>
      </c>
      <c r="I116" s="18">
        <v>6.6699999999999995E-2</v>
      </c>
      <c r="J116" s="18">
        <v>0.1123</v>
      </c>
      <c r="K116" s="18">
        <v>0.2606</v>
      </c>
    </row>
    <row r="117" spans="1:11" x14ac:dyDescent="0.2">
      <c r="A117" s="17">
        <v>45239</v>
      </c>
      <c r="B117" s="18">
        <v>1.4059999999999999</v>
      </c>
      <c r="C117" s="18">
        <v>0.122534</v>
      </c>
      <c r="D117" s="18">
        <v>9.2299999999999993E-2</v>
      </c>
      <c r="E117" s="18">
        <v>0.43514999999999998</v>
      </c>
      <c r="F117" s="18">
        <v>7.4700000000000003E-2</v>
      </c>
      <c r="G117" s="18">
        <v>3.2388E-2</v>
      </c>
      <c r="H117" s="18">
        <v>0.46917199999999998</v>
      </c>
      <c r="I117" s="18">
        <v>6.5699999999999995E-2</v>
      </c>
      <c r="J117" s="18">
        <v>0.1124</v>
      </c>
      <c r="K117" s="18">
        <v>0.25240000000000001</v>
      </c>
    </row>
    <row r="118" spans="1:11" x14ac:dyDescent="0.2">
      <c r="A118" s="17">
        <v>45240</v>
      </c>
      <c r="B118" s="18">
        <v>1.4356</v>
      </c>
      <c r="C118" s="18">
        <v>0.12701299999999999</v>
      </c>
      <c r="D118" s="18">
        <v>9.6100000000000005E-2</v>
      </c>
      <c r="E118" s="18">
        <v>0.44724000000000003</v>
      </c>
      <c r="F118" s="18">
        <v>7.2400000000000006E-2</v>
      </c>
      <c r="G118" s="18">
        <v>3.2764000000000001E-2</v>
      </c>
      <c r="H118" s="18">
        <v>0.483012</v>
      </c>
      <c r="I118" s="18">
        <v>6.6500000000000004E-2</v>
      </c>
      <c r="J118" s="18">
        <v>0.1132</v>
      </c>
      <c r="K118" s="18">
        <v>0.27010000000000001</v>
      </c>
    </row>
    <row r="119" spans="1:11" x14ac:dyDescent="0.2">
      <c r="A119" s="17">
        <v>45243</v>
      </c>
      <c r="B119" s="18">
        <v>1.4258999999999999</v>
      </c>
      <c r="C119" s="18">
        <v>0.12721199999999999</v>
      </c>
      <c r="D119" s="18">
        <v>9.1800000000000007E-2</v>
      </c>
      <c r="E119" s="18">
        <v>0.44462000000000002</v>
      </c>
      <c r="F119" s="18">
        <v>7.22E-2</v>
      </c>
      <c r="G119" s="18">
        <v>3.2669999999999998E-2</v>
      </c>
      <c r="H119" s="18">
        <v>0.48586000000000001</v>
      </c>
      <c r="I119" s="18">
        <v>6.54E-2</v>
      </c>
      <c r="J119" s="18">
        <v>0.113</v>
      </c>
      <c r="K119" s="18">
        <v>0.28160000000000002</v>
      </c>
    </row>
    <row r="120" spans="1:11" x14ac:dyDescent="0.2">
      <c r="A120" s="17">
        <v>45244</v>
      </c>
      <c r="B120" s="18">
        <v>1.458</v>
      </c>
      <c r="C120" s="18">
        <v>0.138261</v>
      </c>
      <c r="D120" s="18">
        <v>9.1700000000000004E-2</v>
      </c>
      <c r="E120" s="18">
        <v>0.44864999999999999</v>
      </c>
      <c r="F120" s="18">
        <v>7.5800000000000006E-2</v>
      </c>
      <c r="G120" s="18">
        <v>3.3515000000000003E-2</v>
      </c>
      <c r="H120" s="18">
        <v>0.49621300000000002</v>
      </c>
      <c r="I120" s="18">
        <v>6.6400000000000001E-2</v>
      </c>
      <c r="J120" s="18">
        <v>0.1215</v>
      </c>
      <c r="K120" s="18">
        <v>0.2918</v>
      </c>
    </row>
    <row r="121" spans="1:11" x14ac:dyDescent="0.2">
      <c r="A121" s="17">
        <v>45245</v>
      </c>
      <c r="B121" s="18">
        <v>1.4319999999999999</v>
      </c>
      <c r="C121" s="18">
        <v>0.14502999999999999</v>
      </c>
      <c r="D121" s="18">
        <v>0.1024</v>
      </c>
      <c r="E121" s="18">
        <v>0.46194000000000002</v>
      </c>
      <c r="F121" s="18">
        <v>7.9399999999999998E-2</v>
      </c>
      <c r="G121" s="18">
        <v>3.3702000000000003E-2</v>
      </c>
      <c r="H121" s="18">
        <v>0.48853799999999997</v>
      </c>
      <c r="I121" s="18">
        <v>6.5699999999999995E-2</v>
      </c>
      <c r="J121" s="18">
        <v>0.122</v>
      </c>
      <c r="K121" s="18">
        <v>0.3019</v>
      </c>
    </row>
    <row r="122" spans="1:11" x14ac:dyDescent="0.2">
      <c r="A122" s="17">
        <v>45246</v>
      </c>
      <c r="B122" s="18">
        <v>1.4282999999999999</v>
      </c>
      <c r="C122" s="18">
        <v>0.14741899999999999</v>
      </c>
      <c r="D122" s="18">
        <v>9.7600000000000006E-2</v>
      </c>
      <c r="E122" s="18">
        <v>0.46694999999999998</v>
      </c>
      <c r="F122" s="18">
        <v>7.3999999999999996E-2</v>
      </c>
      <c r="G122" s="18">
        <v>3.3232999999999999E-2</v>
      </c>
      <c r="H122" s="18">
        <v>0.494454</v>
      </c>
      <c r="I122" s="18">
        <v>6.2300000000000001E-2</v>
      </c>
      <c r="J122" s="18">
        <v>0.1207</v>
      </c>
      <c r="K122" s="18">
        <v>0.28899999999999998</v>
      </c>
    </row>
    <row r="123" spans="1:11" x14ac:dyDescent="0.2">
      <c r="A123" s="17">
        <v>45247</v>
      </c>
      <c r="B123" s="18">
        <v>1.4518</v>
      </c>
      <c r="C123" s="18">
        <v>0.14721899999999999</v>
      </c>
      <c r="D123" s="18">
        <v>0.1</v>
      </c>
      <c r="E123" s="18">
        <v>0.46590999999999999</v>
      </c>
      <c r="F123" s="18">
        <v>7.3899999999999993E-2</v>
      </c>
      <c r="G123" s="18">
        <v>3.3420999999999999E-2</v>
      </c>
      <c r="H123" s="18">
        <v>0.49263600000000002</v>
      </c>
      <c r="I123" s="18">
        <v>6.5000000000000002E-2</v>
      </c>
      <c r="J123" s="18">
        <v>0.11890000000000001</v>
      </c>
      <c r="K123" s="18">
        <v>0.29199999999999998</v>
      </c>
    </row>
    <row r="124" spans="1:11" x14ac:dyDescent="0.2">
      <c r="A124" s="17">
        <v>45250</v>
      </c>
      <c r="B124" s="18">
        <v>1.4613</v>
      </c>
      <c r="C124" s="18">
        <v>0.14502999999999999</v>
      </c>
      <c r="D124" s="18">
        <v>0.10639999999999999</v>
      </c>
      <c r="E124" s="18">
        <v>0.47447</v>
      </c>
      <c r="F124" s="18">
        <v>7.8E-2</v>
      </c>
      <c r="G124" s="18">
        <v>3.3702000000000003E-2</v>
      </c>
      <c r="H124" s="18">
        <v>0.50373800000000002</v>
      </c>
      <c r="I124" s="18">
        <v>6.4000000000000001E-2</v>
      </c>
      <c r="J124" s="18">
        <v>0.1215</v>
      </c>
      <c r="K124" s="18">
        <v>0.2944</v>
      </c>
    </row>
    <row r="125" spans="1:11" x14ac:dyDescent="0.2">
      <c r="A125" s="17">
        <v>45251</v>
      </c>
      <c r="B125" s="18">
        <v>1.4390000000000001</v>
      </c>
      <c r="C125" s="18">
        <v>0.141347</v>
      </c>
      <c r="D125" s="18">
        <v>0.1031</v>
      </c>
      <c r="E125" s="18">
        <v>0.47494999999999998</v>
      </c>
      <c r="F125" s="18">
        <v>7.51E-2</v>
      </c>
      <c r="G125" s="18">
        <v>3.3139000000000002E-2</v>
      </c>
      <c r="H125" s="18">
        <v>0.49909100000000001</v>
      </c>
      <c r="I125" s="18">
        <v>6.2799999999999995E-2</v>
      </c>
      <c r="J125" s="18">
        <v>0.1206</v>
      </c>
      <c r="K125" s="18">
        <v>0.28420000000000001</v>
      </c>
    </row>
    <row r="126" spans="1:11" x14ac:dyDescent="0.2">
      <c r="A126" s="17">
        <v>45252</v>
      </c>
      <c r="B126" s="18">
        <v>1.4671000000000001</v>
      </c>
      <c r="C126" s="18">
        <v>0.144034</v>
      </c>
      <c r="D126" s="18">
        <v>0.10920000000000001</v>
      </c>
      <c r="E126" s="18">
        <v>0.47799999999999998</v>
      </c>
      <c r="F126" s="18">
        <v>7.4700000000000003E-2</v>
      </c>
      <c r="G126" s="18">
        <v>3.3139000000000002E-2</v>
      </c>
      <c r="H126" s="18">
        <v>0.48681999999999997</v>
      </c>
      <c r="I126" s="18">
        <v>6.2899999999999998E-2</v>
      </c>
      <c r="J126" s="18">
        <v>0.1231</v>
      </c>
      <c r="K126" s="18">
        <v>0.28589999999999999</v>
      </c>
    </row>
    <row r="127" spans="1:11" x14ac:dyDescent="0.2">
      <c r="A127" s="17">
        <v>45254</v>
      </c>
      <c r="B127" s="18">
        <v>1.4674</v>
      </c>
      <c r="C127" s="18">
        <v>0.14343700000000001</v>
      </c>
      <c r="D127" s="18">
        <v>0.11409999999999999</v>
      </c>
      <c r="E127" s="18">
        <v>0.47955999999999999</v>
      </c>
      <c r="F127" s="18">
        <v>7.3999999999999996E-2</v>
      </c>
      <c r="G127" s="18">
        <v>3.3327000000000002E-2</v>
      </c>
      <c r="H127" s="18">
        <v>0.47742600000000002</v>
      </c>
      <c r="I127" s="18">
        <v>6.5600000000000006E-2</v>
      </c>
      <c r="J127" s="18">
        <v>0.12520000000000001</v>
      </c>
      <c r="K127" s="18">
        <v>0.28849999999999998</v>
      </c>
    </row>
    <row r="128" spans="1:11" x14ac:dyDescent="0.2">
      <c r="A128" s="17">
        <v>45257</v>
      </c>
      <c r="B128" s="18">
        <v>1.4773000000000001</v>
      </c>
      <c r="C128" s="18">
        <v>0.14552699999999999</v>
      </c>
      <c r="D128" s="18">
        <v>0.1128</v>
      </c>
      <c r="E128" s="18">
        <v>0.47916999999999998</v>
      </c>
      <c r="F128" s="18">
        <v>7.1900000000000006E-2</v>
      </c>
      <c r="G128" s="18">
        <v>3.3232999999999999E-2</v>
      </c>
      <c r="H128" s="18">
        <v>0.48208299999999998</v>
      </c>
      <c r="I128" s="18">
        <v>6.3500000000000001E-2</v>
      </c>
      <c r="J128" s="18">
        <v>0.1268</v>
      </c>
      <c r="K128" s="18">
        <v>0.28129999999999999</v>
      </c>
    </row>
    <row r="129" spans="1:11" x14ac:dyDescent="0.2">
      <c r="A129" s="17">
        <v>45258</v>
      </c>
      <c r="B129" s="18">
        <v>1.4702999999999999</v>
      </c>
      <c r="C129" s="18">
        <v>0.14562700000000001</v>
      </c>
      <c r="D129" s="18">
        <v>0.12379999999999999</v>
      </c>
      <c r="E129" s="18">
        <v>0.47899999999999998</v>
      </c>
      <c r="F129" s="18">
        <v>7.2099999999999997E-2</v>
      </c>
      <c r="G129" s="18">
        <v>3.3044999999999998E-2</v>
      </c>
      <c r="H129" s="18">
        <v>0.47787600000000002</v>
      </c>
      <c r="I129" s="18">
        <v>6.3E-2</v>
      </c>
      <c r="J129" s="18">
        <v>0.12839999999999999</v>
      </c>
      <c r="K129" s="18">
        <v>0.29370000000000002</v>
      </c>
    </row>
    <row r="130" spans="1:11" x14ac:dyDescent="0.2">
      <c r="A130" s="17">
        <v>45259</v>
      </c>
      <c r="B130" s="18">
        <v>1.4632000000000001</v>
      </c>
      <c r="C130" s="18">
        <v>0.14841399999999999</v>
      </c>
      <c r="D130" s="18">
        <v>0.124</v>
      </c>
      <c r="E130" s="18">
        <v>0.47719</v>
      </c>
      <c r="F130" s="18">
        <v>7.1800000000000003E-2</v>
      </c>
      <c r="G130" s="18">
        <v>3.3420999999999999E-2</v>
      </c>
      <c r="H130" s="18">
        <v>0.48106399999999999</v>
      </c>
      <c r="I130" s="18">
        <v>6.25E-2</v>
      </c>
      <c r="J130" s="18">
        <v>0.1298</v>
      </c>
      <c r="K130" s="18">
        <v>0.30359999999999998</v>
      </c>
    </row>
    <row r="131" spans="1:11" x14ac:dyDescent="0.2">
      <c r="A131" s="17">
        <v>45260</v>
      </c>
      <c r="B131" s="18">
        <v>1.4609000000000001</v>
      </c>
      <c r="C131" s="18">
        <v>0.14990700000000001</v>
      </c>
      <c r="D131" s="18">
        <v>0.1197</v>
      </c>
      <c r="E131" s="18">
        <v>0.47397</v>
      </c>
      <c r="F131" s="18">
        <v>7.2700000000000001E-2</v>
      </c>
      <c r="G131" s="18">
        <v>3.2669999999999998E-2</v>
      </c>
      <c r="H131" s="18">
        <v>0.46737299999999998</v>
      </c>
      <c r="I131" s="18">
        <v>6.3600000000000004E-2</v>
      </c>
      <c r="J131" s="18">
        <v>0.13830000000000001</v>
      </c>
      <c r="K131" s="18">
        <v>0.29509999999999997</v>
      </c>
    </row>
    <row r="132" spans="1:11" x14ac:dyDescent="0.2">
      <c r="A132" s="17">
        <v>45261</v>
      </c>
      <c r="B132" s="18">
        <v>1.4702999999999999</v>
      </c>
      <c r="C132" s="18">
        <v>0.15687499999999999</v>
      </c>
      <c r="D132" s="18">
        <v>0.13700000000000001</v>
      </c>
      <c r="E132" s="18">
        <v>0.46573999999999999</v>
      </c>
      <c r="F132" s="18">
        <v>7.1499999999999994E-2</v>
      </c>
      <c r="G132" s="18">
        <v>3.2764000000000001E-2</v>
      </c>
      <c r="H132" s="18">
        <v>0.46732299999999999</v>
      </c>
      <c r="I132" s="18">
        <v>6.5600000000000006E-2</v>
      </c>
      <c r="J132" s="18">
        <v>0.1414</v>
      </c>
      <c r="K132" s="18">
        <v>0.32519999999999999</v>
      </c>
    </row>
    <row r="133" spans="1:11" x14ac:dyDescent="0.2">
      <c r="A133" s="17">
        <v>45264</v>
      </c>
      <c r="B133" s="18">
        <v>1.4483999999999999</v>
      </c>
      <c r="C133" s="18">
        <v>0.162748</v>
      </c>
      <c r="D133" s="18">
        <v>0.14860000000000001</v>
      </c>
      <c r="E133" s="18">
        <v>0.45390000000000003</v>
      </c>
      <c r="F133" s="18">
        <v>7.3200000000000001E-2</v>
      </c>
      <c r="G133" s="18">
        <v>2.9666000000000001E-2</v>
      </c>
      <c r="H133" s="18">
        <v>0.45478200000000002</v>
      </c>
      <c r="I133" s="18">
        <v>6.3700000000000007E-2</v>
      </c>
      <c r="J133" s="18">
        <v>0.14299999999999999</v>
      </c>
      <c r="K133" s="18">
        <v>0.32629999999999998</v>
      </c>
    </row>
    <row r="134" spans="1:11" x14ac:dyDescent="0.2">
      <c r="A134" s="17">
        <v>45265</v>
      </c>
      <c r="B134" s="18">
        <v>1.4688000000000001</v>
      </c>
      <c r="C134" s="18">
        <v>0.164241</v>
      </c>
      <c r="D134" s="18">
        <v>0.15279999999999999</v>
      </c>
      <c r="E134" s="18">
        <v>0.45515</v>
      </c>
      <c r="F134" s="18">
        <v>7.4300000000000005E-2</v>
      </c>
      <c r="G134" s="18">
        <v>2.8164000000000002E-2</v>
      </c>
      <c r="H134" s="18">
        <v>0.46537600000000001</v>
      </c>
      <c r="I134" s="18">
        <v>6.2399999999999997E-2</v>
      </c>
      <c r="J134" s="18">
        <v>0.14599999999999999</v>
      </c>
      <c r="K134" s="18">
        <v>0.31259999999999999</v>
      </c>
    </row>
    <row r="135" spans="1:11" x14ac:dyDescent="0.2">
      <c r="A135" s="17">
        <v>45266</v>
      </c>
      <c r="B135" s="18">
        <v>1.4452</v>
      </c>
      <c r="C135" s="18">
        <v>0.17399600000000001</v>
      </c>
      <c r="D135" s="18">
        <v>0.15540000000000001</v>
      </c>
      <c r="E135" s="18">
        <v>0.44673000000000002</v>
      </c>
      <c r="F135" s="18">
        <v>7.7499999999999999E-2</v>
      </c>
      <c r="G135" s="18">
        <v>2.8257000000000001E-2</v>
      </c>
      <c r="H135" s="18">
        <v>0.45475199999999999</v>
      </c>
      <c r="I135" s="18">
        <v>5.74E-2</v>
      </c>
      <c r="J135" s="18">
        <v>0.1477</v>
      </c>
      <c r="K135" s="18">
        <v>0.315</v>
      </c>
    </row>
    <row r="136" spans="1:11" x14ac:dyDescent="0.2">
      <c r="A136" s="17">
        <v>45267</v>
      </c>
      <c r="B136" s="18">
        <v>1.4688000000000001</v>
      </c>
      <c r="C136" s="18">
        <v>0.17847499999999999</v>
      </c>
      <c r="D136" s="18">
        <v>0.15509999999999999</v>
      </c>
      <c r="E136" s="18">
        <v>0.45200000000000001</v>
      </c>
      <c r="F136" s="18">
        <v>7.4899999999999994E-2</v>
      </c>
      <c r="G136" s="18">
        <v>2.9101999999999999E-2</v>
      </c>
      <c r="H136" s="18">
        <v>0.46567500000000001</v>
      </c>
      <c r="I136" s="18">
        <v>5.6500000000000002E-2</v>
      </c>
      <c r="J136" s="18">
        <v>0.14760000000000001</v>
      </c>
      <c r="K136" s="18">
        <v>0.31900000000000001</v>
      </c>
    </row>
    <row r="137" spans="1:11" x14ac:dyDescent="0.2">
      <c r="A137" s="17">
        <v>45268</v>
      </c>
      <c r="B137" s="18">
        <v>1.4742</v>
      </c>
      <c r="C137" s="18">
        <v>0.18026700000000001</v>
      </c>
      <c r="D137" s="18">
        <v>0.1678</v>
      </c>
      <c r="E137" s="18">
        <v>0.45376</v>
      </c>
      <c r="F137" s="18">
        <v>7.3800000000000004E-2</v>
      </c>
      <c r="G137" s="18">
        <v>2.9853000000000001E-2</v>
      </c>
      <c r="H137" s="18">
        <v>0.47477000000000003</v>
      </c>
      <c r="I137" s="18">
        <v>5.8500000000000003E-2</v>
      </c>
      <c r="J137" s="18">
        <v>0.15090000000000001</v>
      </c>
      <c r="K137" s="18">
        <v>0.32700000000000001</v>
      </c>
    </row>
    <row r="138" spans="1:11" x14ac:dyDescent="0.2">
      <c r="A138" s="17">
        <v>45271</v>
      </c>
      <c r="B138" s="18">
        <v>1.4589000000000001</v>
      </c>
      <c r="C138" s="18">
        <v>0.17548900000000001</v>
      </c>
      <c r="D138" s="18">
        <v>0.14649999999999999</v>
      </c>
      <c r="E138" s="18">
        <v>0.45989000000000002</v>
      </c>
      <c r="F138" s="18">
        <v>7.6799999999999993E-2</v>
      </c>
      <c r="G138" s="18">
        <v>2.929E-2</v>
      </c>
      <c r="H138" s="18">
        <v>0.46598499999999998</v>
      </c>
      <c r="I138" s="18">
        <v>5.8099999999999999E-2</v>
      </c>
      <c r="J138" s="18">
        <v>0.1575</v>
      </c>
      <c r="K138" s="18">
        <v>0.32400000000000001</v>
      </c>
    </row>
    <row r="139" spans="1:11" x14ac:dyDescent="0.2">
      <c r="A139" s="17">
        <v>45272</v>
      </c>
      <c r="B139" s="18">
        <v>1.4748000000000001</v>
      </c>
      <c r="C139" s="18">
        <v>0.17738000000000001</v>
      </c>
      <c r="D139" s="18">
        <v>0.1489</v>
      </c>
      <c r="E139" s="18">
        <v>0.46300000000000002</v>
      </c>
      <c r="F139" s="18">
        <v>7.2700000000000001E-2</v>
      </c>
      <c r="G139" s="18">
        <v>3.0228999999999999E-2</v>
      </c>
      <c r="H139" s="18">
        <v>0.47627900000000001</v>
      </c>
      <c r="I139" s="18">
        <v>5.7000000000000002E-2</v>
      </c>
      <c r="J139" s="18">
        <v>0.1585</v>
      </c>
      <c r="K139" s="18">
        <v>0.33189999999999997</v>
      </c>
    </row>
    <row r="140" spans="1:11" x14ac:dyDescent="0.2">
      <c r="A140" s="17">
        <v>45273</v>
      </c>
      <c r="B140" s="18">
        <v>1.4883999999999999</v>
      </c>
      <c r="C140" s="18">
        <v>0.18185899999999999</v>
      </c>
      <c r="D140" s="18">
        <v>0.1676</v>
      </c>
      <c r="E140" s="18">
        <v>0.47998000000000002</v>
      </c>
      <c r="F140" s="18">
        <v>7.4300000000000005E-2</v>
      </c>
      <c r="G140" s="18">
        <v>3.0511E-2</v>
      </c>
      <c r="H140" s="18">
        <v>0.48058600000000001</v>
      </c>
      <c r="I140" s="18">
        <v>5.96E-2</v>
      </c>
      <c r="J140" s="18">
        <v>0.16450000000000001</v>
      </c>
      <c r="K140" s="18">
        <v>0.35389999999999999</v>
      </c>
    </row>
    <row r="141" spans="1:11" x14ac:dyDescent="0.2">
      <c r="A141" s="17">
        <v>45274</v>
      </c>
      <c r="B141" s="18">
        <v>1.4742</v>
      </c>
      <c r="C141" s="18">
        <v>0.18693599999999999</v>
      </c>
      <c r="D141" s="18">
        <v>0.1782</v>
      </c>
      <c r="E141" s="18">
        <v>0.46983000000000003</v>
      </c>
      <c r="F141" s="18">
        <v>7.8600000000000003E-2</v>
      </c>
      <c r="G141" s="18">
        <v>3.1636999999999998E-2</v>
      </c>
      <c r="H141" s="18">
        <v>0.483205</v>
      </c>
      <c r="I141" s="18">
        <v>6.1499999999999999E-2</v>
      </c>
      <c r="J141" s="18">
        <v>0.1694</v>
      </c>
      <c r="K141" s="18">
        <v>0.38279999999999997</v>
      </c>
    </row>
    <row r="142" spans="1:11" x14ac:dyDescent="0.2">
      <c r="A142" s="17">
        <v>45275</v>
      </c>
      <c r="B142" s="18">
        <v>1.4997</v>
      </c>
      <c r="C142" s="18">
        <v>0.18524399999999999</v>
      </c>
      <c r="D142" s="18">
        <v>0.18290000000000001</v>
      </c>
      <c r="E142" s="18">
        <v>0.47205999999999998</v>
      </c>
      <c r="F142" s="18">
        <v>7.9799999999999996E-2</v>
      </c>
      <c r="G142" s="18">
        <v>3.0603999999999999E-2</v>
      </c>
      <c r="H142" s="18">
        <v>0.48860100000000001</v>
      </c>
      <c r="I142" s="18">
        <v>6.1100000000000002E-2</v>
      </c>
      <c r="J142" s="18">
        <v>0.16919999999999999</v>
      </c>
      <c r="K142" s="18">
        <v>0.39360000000000001</v>
      </c>
    </row>
    <row r="143" spans="1:11" x14ac:dyDescent="0.2">
      <c r="A143" s="17">
        <v>45278</v>
      </c>
      <c r="B143" s="18">
        <v>1.5407</v>
      </c>
      <c r="C143" s="18">
        <v>0.182755</v>
      </c>
      <c r="D143" s="18">
        <v>0.1988</v>
      </c>
      <c r="E143" s="18">
        <v>0.48612</v>
      </c>
      <c r="F143" s="18">
        <v>8.3500000000000005E-2</v>
      </c>
      <c r="G143" s="18">
        <v>3.0322999999999999E-2</v>
      </c>
      <c r="H143" s="18">
        <v>0.50046400000000002</v>
      </c>
      <c r="I143" s="18">
        <v>6.13E-2</v>
      </c>
      <c r="J143" s="18">
        <v>0.17019999999999999</v>
      </c>
      <c r="K143" s="18">
        <v>0.3931</v>
      </c>
    </row>
    <row r="144" spans="1:11" x14ac:dyDescent="0.2">
      <c r="A144" s="17">
        <v>45279</v>
      </c>
      <c r="B144" s="18">
        <v>1.5379</v>
      </c>
      <c r="C144" s="18">
        <v>0.18623899999999999</v>
      </c>
      <c r="D144" s="18">
        <v>0.21970000000000001</v>
      </c>
      <c r="E144" s="18">
        <v>0.49502000000000002</v>
      </c>
      <c r="F144" s="18">
        <v>8.8200000000000001E-2</v>
      </c>
      <c r="G144" s="18">
        <v>3.1074000000000001E-2</v>
      </c>
      <c r="H144" s="18">
        <v>0.49573699999999998</v>
      </c>
      <c r="I144" s="18">
        <v>6.25E-2</v>
      </c>
      <c r="J144" s="18">
        <v>0.17180000000000001</v>
      </c>
      <c r="K144" s="18">
        <v>0.40939999999999999</v>
      </c>
    </row>
    <row r="145" spans="1:11" x14ac:dyDescent="0.2">
      <c r="A145" s="17">
        <v>45280</v>
      </c>
      <c r="B145" s="18">
        <v>1.5212000000000001</v>
      </c>
      <c r="C145" s="18">
        <v>0.179869</v>
      </c>
      <c r="D145" s="18">
        <v>0.221</v>
      </c>
      <c r="E145" s="18">
        <v>0.48926999999999998</v>
      </c>
      <c r="F145" s="18">
        <v>7.9200000000000007E-2</v>
      </c>
      <c r="G145" s="18">
        <v>3.0511E-2</v>
      </c>
      <c r="H145" s="18">
        <v>0.48081600000000002</v>
      </c>
      <c r="I145" s="18">
        <v>6.1699999999999998E-2</v>
      </c>
      <c r="J145" s="18">
        <v>0.16600000000000001</v>
      </c>
      <c r="K145" s="18">
        <v>0.38669999999999999</v>
      </c>
    </row>
    <row r="146" spans="1:11" x14ac:dyDescent="0.2">
      <c r="A146" s="17">
        <v>45281</v>
      </c>
      <c r="B146" s="18">
        <v>1.5384</v>
      </c>
      <c r="C146" s="18">
        <v>0.19101699999999999</v>
      </c>
      <c r="D146" s="18">
        <v>0.24779999999999999</v>
      </c>
      <c r="E146" s="18">
        <v>0.49160999999999999</v>
      </c>
      <c r="F146" s="18">
        <v>8.2900000000000001E-2</v>
      </c>
      <c r="G146" s="18">
        <v>3.0792E-2</v>
      </c>
      <c r="H146" s="18">
        <v>0.48960100000000001</v>
      </c>
      <c r="I146" s="18">
        <v>6.2399999999999997E-2</v>
      </c>
      <c r="J146" s="18">
        <v>0.17230000000000001</v>
      </c>
      <c r="K146" s="18">
        <v>0.39710000000000001</v>
      </c>
    </row>
    <row r="147" spans="1:11" x14ac:dyDescent="0.2">
      <c r="A147" s="17">
        <v>45282</v>
      </c>
      <c r="B147" s="18">
        <v>1.5342</v>
      </c>
      <c r="C147" s="18">
        <v>0.18842900000000001</v>
      </c>
      <c r="D147" s="18">
        <v>0.2671</v>
      </c>
      <c r="E147" s="18">
        <v>0.48676000000000003</v>
      </c>
      <c r="F147" s="18">
        <v>8.4199999999999997E-2</v>
      </c>
      <c r="G147" s="18">
        <v>3.1543000000000002E-2</v>
      </c>
      <c r="H147" s="18">
        <v>0.48800199999999999</v>
      </c>
      <c r="I147" s="18">
        <v>6.3600000000000004E-2</v>
      </c>
      <c r="J147" s="18">
        <v>0.17050000000000001</v>
      </c>
      <c r="K147" s="18">
        <v>0.3921</v>
      </c>
    </row>
    <row r="148" spans="1:11" x14ac:dyDescent="0.2">
      <c r="A148" s="17">
        <v>45286</v>
      </c>
      <c r="B148" s="18">
        <v>1.5341</v>
      </c>
      <c r="C148" s="18">
        <v>0.18524399999999999</v>
      </c>
      <c r="D148" s="18">
        <v>0.26960000000000001</v>
      </c>
      <c r="E148" s="18">
        <v>0.49119000000000002</v>
      </c>
      <c r="F148" s="18">
        <v>9.3299999999999994E-2</v>
      </c>
      <c r="G148" s="18">
        <v>3.1448999999999998E-2</v>
      </c>
      <c r="H148" s="18">
        <v>0.49248900000000001</v>
      </c>
      <c r="I148" s="18">
        <v>6.7400000000000002E-2</v>
      </c>
      <c r="J148" s="18">
        <v>0.1678</v>
      </c>
      <c r="K148" s="18">
        <v>0.4214</v>
      </c>
    </row>
    <row r="149" spans="1:11" x14ac:dyDescent="0.2">
      <c r="A149" s="17">
        <v>45287</v>
      </c>
      <c r="B149" s="18">
        <v>1.5334000000000001</v>
      </c>
      <c r="C149" s="18">
        <v>0.18454699999999999</v>
      </c>
      <c r="D149" s="18">
        <v>0.31069999999999998</v>
      </c>
      <c r="E149" s="18">
        <v>0.49179</v>
      </c>
      <c r="F149" s="18">
        <v>9.0999999999999998E-2</v>
      </c>
      <c r="G149" s="18">
        <v>3.1731000000000002E-2</v>
      </c>
      <c r="H149" s="18">
        <v>0.49386799999999997</v>
      </c>
      <c r="I149" s="18">
        <v>6.5600000000000006E-2</v>
      </c>
      <c r="J149" s="18">
        <v>0.16950000000000001</v>
      </c>
      <c r="K149" s="18">
        <v>0.42730000000000001</v>
      </c>
    </row>
    <row r="150" spans="1:11" x14ac:dyDescent="0.2">
      <c r="A150" s="17">
        <v>45288</v>
      </c>
      <c r="B150" s="18">
        <v>1.5338000000000001</v>
      </c>
      <c r="C150" s="18">
        <v>0.18584100000000001</v>
      </c>
      <c r="D150" s="18">
        <v>0.28110000000000002</v>
      </c>
      <c r="E150" s="18">
        <v>0.49051</v>
      </c>
      <c r="F150" s="18">
        <v>9.4299999999999995E-2</v>
      </c>
      <c r="G150" s="18">
        <v>3.1636999999999998E-2</v>
      </c>
      <c r="H150" s="18">
        <v>0.494917</v>
      </c>
      <c r="I150" s="18">
        <v>6.4799999999999996E-2</v>
      </c>
      <c r="J150" s="18">
        <v>0.17050000000000001</v>
      </c>
      <c r="K150" s="18">
        <v>0.42680000000000001</v>
      </c>
    </row>
    <row r="151" spans="1:11" x14ac:dyDescent="0.2">
      <c r="A151" s="17">
        <v>45289</v>
      </c>
      <c r="B151" s="18">
        <v>1.5194000000000001</v>
      </c>
      <c r="C151" s="18">
        <v>0.18454699999999999</v>
      </c>
      <c r="D151" s="18">
        <v>0.2349</v>
      </c>
      <c r="E151" s="18">
        <v>0.48687999999999998</v>
      </c>
      <c r="F151" s="18">
        <v>9.0700000000000003E-2</v>
      </c>
      <c r="G151" s="18">
        <v>3.2106000000000003E-2</v>
      </c>
      <c r="H151" s="18">
        <v>0.494917</v>
      </c>
      <c r="I151" s="18">
        <v>6.3500000000000001E-2</v>
      </c>
      <c r="J151" s="18">
        <v>0.16930000000000001</v>
      </c>
      <c r="K151" s="18">
        <v>0.40889999999999999</v>
      </c>
    </row>
    <row r="152" spans="1:11" x14ac:dyDescent="0.2">
      <c r="A152" s="17">
        <v>45293</v>
      </c>
      <c r="B152" s="18">
        <v>1.4993000000000001</v>
      </c>
      <c r="C152" s="18">
        <v>0.17210400000000001</v>
      </c>
      <c r="D152" s="18">
        <v>0.2293</v>
      </c>
      <c r="E152" s="18">
        <v>0.46850000000000003</v>
      </c>
      <c r="F152" s="18">
        <v>8.4199999999999997E-2</v>
      </c>
      <c r="G152" s="18">
        <v>3.2013E-2</v>
      </c>
      <c r="H152" s="18">
        <v>0.48138599999999998</v>
      </c>
      <c r="I152" s="18">
        <v>6.25E-2</v>
      </c>
      <c r="J152" s="18">
        <v>0.16139999999999999</v>
      </c>
      <c r="K152" s="18">
        <v>0.38790000000000002</v>
      </c>
    </row>
    <row r="153" spans="1:11" x14ac:dyDescent="0.2">
      <c r="A153" s="17">
        <v>45294</v>
      </c>
      <c r="B153" s="18">
        <v>1.4846999999999999</v>
      </c>
      <c r="C153" s="18">
        <v>0.162748</v>
      </c>
      <c r="D153" s="18">
        <v>0.2344</v>
      </c>
      <c r="E153" s="18">
        <v>0.47026000000000001</v>
      </c>
      <c r="F153" s="18">
        <v>8.5000000000000006E-2</v>
      </c>
      <c r="G153" s="18">
        <v>3.1824999999999999E-2</v>
      </c>
      <c r="H153" s="18">
        <v>0.47539900000000002</v>
      </c>
      <c r="I153" s="18">
        <v>6.2E-2</v>
      </c>
      <c r="J153" s="18">
        <v>0.1578</v>
      </c>
      <c r="K153" s="18">
        <v>0.36930000000000002</v>
      </c>
    </row>
    <row r="154" spans="1:11" x14ac:dyDescent="0.2">
      <c r="A154" s="17">
        <v>45295</v>
      </c>
      <c r="B154" s="18">
        <v>1.4457</v>
      </c>
      <c r="C154" s="18">
        <v>0.16772500000000001</v>
      </c>
      <c r="D154" s="18">
        <v>0.26269999999999999</v>
      </c>
      <c r="E154" s="18">
        <v>0.47466999999999998</v>
      </c>
      <c r="F154" s="18">
        <v>8.2699999999999996E-2</v>
      </c>
      <c r="G154" s="18">
        <v>3.2388E-2</v>
      </c>
      <c r="H154" s="18">
        <v>0.47968699999999997</v>
      </c>
      <c r="I154" s="18">
        <v>6.0299999999999999E-2</v>
      </c>
      <c r="J154" s="18">
        <v>0.16200000000000001</v>
      </c>
      <c r="K154" s="18">
        <v>0.3705</v>
      </c>
    </row>
    <row r="155" spans="1:11" x14ac:dyDescent="0.2">
      <c r="A155" s="17">
        <v>45296</v>
      </c>
      <c r="B155" s="18">
        <v>1.4523999999999999</v>
      </c>
      <c r="C155" s="18">
        <v>0.17250299999999999</v>
      </c>
      <c r="D155" s="18">
        <v>0.2412</v>
      </c>
      <c r="E155" s="18">
        <v>0.47405999999999998</v>
      </c>
      <c r="F155" s="18">
        <v>8.0600000000000005E-2</v>
      </c>
      <c r="G155" s="18">
        <v>3.2294000000000003E-2</v>
      </c>
      <c r="H155" s="18">
        <v>0.49067</v>
      </c>
      <c r="I155" s="18">
        <v>6.1400000000000003E-2</v>
      </c>
      <c r="J155" s="18">
        <v>0.16550000000000001</v>
      </c>
      <c r="K155" s="18">
        <v>0.37780000000000002</v>
      </c>
    </row>
    <row r="156" spans="1:11" x14ac:dyDescent="0.2">
      <c r="A156" s="17">
        <v>45299</v>
      </c>
      <c r="B156" s="18">
        <v>1.4910000000000001</v>
      </c>
      <c r="C156" s="18">
        <v>0.17270199999999999</v>
      </c>
      <c r="D156" s="18">
        <v>0.25979999999999998</v>
      </c>
      <c r="E156" s="18">
        <v>0.48503000000000002</v>
      </c>
      <c r="F156" s="18">
        <v>7.9299999999999995E-2</v>
      </c>
      <c r="G156" s="18">
        <v>3.3232999999999999E-2</v>
      </c>
      <c r="H156" s="18">
        <v>0.52221099999999998</v>
      </c>
      <c r="I156" s="18">
        <v>5.9499999999999997E-2</v>
      </c>
      <c r="J156" s="18">
        <v>0.1731</v>
      </c>
      <c r="K156" s="18">
        <v>0.38979999999999998</v>
      </c>
    </row>
    <row r="157" spans="1:11" x14ac:dyDescent="0.2">
      <c r="A157" s="17">
        <v>45300</v>
      </c>
      <c r="B157" s="18">
        <v>1.5137</v>
      </c>
      <c r="C157" s="18">
        <v>0.17299999999999999</v>
      </c>
      <c r="D157" s="18">
        <v>0.25729999999999997</v>
      </c>
      <c r="E157" s="18">
        <v>0.48209000000000002</v>
      </c>
      <c r="F157" s="18">
        <v>7.5600000000000001E-2</v>
      </c>
      <c r="G157" s="18">
        <v>3.2669999999999998E-2</v>
      </c>
      <c r="H157" s="18">
        <v>0.53107499999999996</v>
      </c>
      <c r="I157" s="18">
        <v>5.8299999999999998E-2</v>
      </c>
      <c r="J157" s="18">
        <v>0.17050000000000001</v>
      </c>
      <c r="K157" s="18">
        <v>0.35870000000000002</v>
      </c>
    </row>
    <row r="158" spans="1:11" x14ac:dyDescent="0.2">
      <c r="A158" s="17">
        <v>45301</v>
      </c>
      <c r="B158" s="18">
        <v>1.5373000000000001</v>
      </c>
      <c r="C158" s="18">
        <v>0.176982</v>
      </c>
      <c r="D158" s="18">
        <v>0.25629999999999997</v>
      </c>
      <c r="E158" s="18">
        <v>0.47832999999999998</v>
      </c>
      <c r="F158" s="18">
        <v>7.4099999999999999E-2</v>
      </c>
      <c r="G158" s="18">
        <v>3.2764000000000001E-2</v>
      </c>
      <c r="H158" s="18">
        <v>0.54316799999999998</v>
      </c>
      <c r="I158" s="18">
        <v>5.7000000000000002E-2</v>
      </c>
      <c r="J158" s="18">
        <v>0.17369999999999999</v>
      </c>
      <c r="K158" s="18">
        <v>0.37130000000000002</v>
      </c>
    </row>
    <row r="159" spans="1:11" x14ac:dyDescent="0.2">
      <c r="A159" s="17">
        <v>45302</v>
      </c>
      <c r="B159" s="18">
        <v>1.5518000000000001</v>
      </c>
      <c r="C159" s="18">
        <v>0.17449300000000001</v>
      </c>
      <c r="D159" s="18">
        <v>0.224</v>
      </c>
      <c r="E159" s="18">
        <v>0.49223</v>
      </c>
      <c r="F159" s="18">
        <v>7.3999999999999996E-2</v>
      </c>
      <c r="G159" s="18">
        <v>3.2856999999999997E-2</v>
      </c>
      <c r="H159" s="18">
        <v>0.54788499999999996</v>
      </c>
      <c r="I159" s="18">
        <v>5.5899999999999998E-2</v>
      </c>
      <c r="J159" s="18">
        <v>0.1709</v>
      </c>
      <c r="K159" s="18">
        <v>0.34820000000000001</v>
      </c>
    </row>
    <row r="160" spans="1:11" x14ac:dyDescent="0.2">
      <c r="A160" s="17">
        <v>45303</v>
      </c>
      <c r="B160" s="18">
        <v>1.5462</v>
      </c>
      <c r="C160" s="18">
        <v>0.16882</v>
      </c>
      <c r="D160" s="18">
        <v>0.1898</v>
      </c>
      <c r="E160" s="18">
        <v>0.49215999999999999</v>
      </c>
      <c r="F160" s="18">
        <v>7.17E-2</v>
      </c>
      <c r="G160" s="18">
        <v>3.3044999999999998E-2</v>
      </c>
      <c r="H160" s="18">
        <v>0.54676599999999997</v>
      </c>
      <c r="I160" s="18">
        <v>5.57E-2</v>
      </c>
      <c r="J160" s="18">
        <v>0.1643</v>
      </c>
      <c r="K160" s="18">
        <v>0.34589999999999999</v>
      </c>
    </row>
    <row r="161" spans="1:11" x14ac:dyDescent="0.2">
      <c r="A161" s="17">
        <v>45307</v>
      </c>
      <c r="B161" s="18">
        <v>1.5316000000000001</v>
      </c>
      <c r="C161" s="18">
        <v>0.169516</v>
      </c>
      <c r="D161" s="18">
        <v>0.17780000000000001</v>
      </c>
      <c r="E161" s="18">
        <v>0.48124</v>
      </c>
      <c r="F161" s="18">
        <v>6.5500000000000003E-2</v>
      </c>
      <c r="G161" s="18">
        <v>3.2951000000000001E-2</v>
      </c>
      <c r="H161" s="18">
        <v>0.56347599999999998</v>
      </c>
      <c r="I161" s="18">
        <v>5.3900000000000003E-2</v>
      </c>
      <c r="J161" s="18">
        <v>0.15540000000000001</v>
      </c>
      <c r="K161" s="18">
        <v>0.34100000000000003</v>
      </c>
    </row>
    <row r="162" spans="1:11" x14ac:dyDescent="0.2">
      <c r="A162" s="17">
        <v>45308</v>
      </c>
      <c r="B162" s="18">
        <v>1.5170999999999999</v>
      </c>
      <c r="C162" s="18">
        <v>0.167824</v>
      </c>
      <c r="D162" s="18">
        <v>0.1726</v>
      </c>
      <c r="E162" s="18">
        <v>0.48032999999999998</v>
      </c>
      <c r="F162" s="18">
        <v>6.3E-2</v>
      </c>
      <c r="G162" s="18">
        <v>3.2388E-2</v>
      </c>
      <c r="H162" s="18">
        <v>0.56018800000000002</v>
      </c>
      <c r="I162" s="18">
        <v>5.2900000000000003E-2</v>
      </c>
      <c r="J162" s="18">
        <v>0.155</v>
      </c>
      <c r="K162" s="18">
        <v>0.32979999999999998</v>
      </c>
    </row>
    <row r="163" spans="1:11" x14ac:dyDescent="0.2">
      <c r="A163" s="17">
        <v>45309</v>
      </c>
      <c r="B163" s="18">
        <v>1.5349999999999999</v>
      </c>
      <c r="C163" s="18">
        <v>0.17200499999999999</v>
      </c>
      <c r="D163" s="18">
        <v>0.16070000000000001</v>
      </c>
      <c r="E163" s="18">
        <v>0.48531000000000002</v>
      </c>
      <c r="F163" s="18">
        <v>6.2799999999999995E-2</v>
      </c>
      <c r="G163" s="18">
        <v>3.2576000000000001E-2</v>
      </c>
      <c r="H163" s="18">
        <v>0.57072100000000003</v>
      </c>
      <c r="I163" s="18">
        <v>5.3699999999999998E-2</v>
      </c>
      <c r="J163" s="18">
        <v>0.16209999999999999</v>
      </c>
      <c r="K163" s="18">
        <v>0.32869999999999999</v>
      </c>
    </row>
    <row r="164" spans="1:11" x14ac:dyDescent="0.2">
      <c r="A164" s="17">
        <v>45310</v>
      </c>
      <c r="B164" s="18">
        <v>1.5533999999999999</v>
      </c>
      <c r="C164" s="18">
        <v>0.17250299999999999</v>
      </c>
      <c r="D164" s="18">
        <v>0.1613</v>
      </c>
      <c r="E164" s="18">
        <v>0.48294999999999999</v>
      </c>
      <c r="F164" s="18">
        <v>6.0600000000000001E-2</v>
      </c>
      <c r="G164" s="18">
        <v>3.2199999999999999E-2</v>
      </c>
      <c r="H164" s="18">
        <v>0.59454700000000005</v>
      </c>
      <c r="I164" s="18">
        <v>5.3400000000000003E-2</v>
      </c>
      <c r="J164" s="18">
        <v>0.16420000000000001</v>
      </c>
      <c r="K164" s="18">
        <v>0.33139999999999997</v>
      </c>
    </row>
    <row r="165" spans="1:11" x14ac:dyDescent="0.2">
      <c r="A165" s="17">
        <v>45313</v>
      </c>
      <c r="B165" s="18">
        <v>1.5478000000000001</v>
      </c>
      <c r="C165" s="18">
        <v>0.165634</v>
      </c>
      <c r="D165" s="18">
        <v>0.1661</v>
      </c>
      <c r="E165" s="18">
        <v>0.48570999999999998</v>
      </c>
      <c r="F165" s="18">
        <v>5.9799999999999999E-2</v>
      </c>
      <c r="G165" s="18">
        <v>3.1448999999999998E-2</v>
      </c>
      <c r="H165" s="18">
        <v>0.59617600000000004</v>
      </c>
      <c r="I165" s="18">
        <v>5.4199999999999998E-2</v>
      </c>
      <c r="J165" s="18">
        <v>0.1661</v>
      </c>
      <c r="K165" s="18">
        <v>0.3422</v>
      </c>
    </row>
    <row r="166" spans="1:11" x14ac:dyDescent="0.2">
      <c r="A166" s="17">
        <v>45314</v>
      </c>
      <c r="B166" s="18">
        <v>1.5602</v>
      </c>
      <c r="C166" s="18">
        <v>0.16175200000000001</v>
      </c>
      <c r="D166" s="18">
        <v>0.16109999999999999</v>
      </c>
      <c r="E166" s="18">
        <v>0.49219000000000002</v>
      </c>
      <c r="F166" s="18">
        <v>6.2100000000000002E-2</v>
      </c>
      <c r="G166" s="18">
        <v>3.1543000000000002E-2</v>
      </c>
      <c r="H166" s="18">
        <v>0.59836400000000001</v>
      </c>
      <c r="I166" s="18">
        <v>5.4899999999999997E-2</v>
      </c>
      <c r="J166" s="18">
        <v>0.1633</v>
      </c>
      <c r="K166" s="18">
        <v>0.34279999999999999</v>
      </c>
    </row>
    <row r="167" spans="1:11" x14ac:dyDescent="0.2">
      <c r="A167" s="17">
        <v>45315</v>
      </c>
      <c r="B167" s="18">
        <v>1.5687</v>
      </c>
      <c r="C167" s="18">
        <v>0.16006000000000001</v>
      </c>
      <c r="D167" s="18">
        <v>0.1565</v>
      </c>
      <c r="E167" s="18">
        <v>0.54486999999999997</v>
      </c>
      <c r="F167" s="18">
        <v>6.0699999999999997E-2</v>
      </c>
      <c r="G167" s="18">
        <v>3.2013E-2</v>
      </c>
      <c r="H167" s="18">
        <v>0.61324500000000004</v>
      </c>
      <c r="I167" s="18">
        <v>5.74E-2</v>
      </c>
      <c r="J167" s="18">
        <v>0.16320000000000001</v>
      </c>
      <c r="K167" s="18">
        <v>0.33029999999999998</v>
      </c>
    </row>
    <row r="168" spans="1:11" x14ac:dyDescent="0.2">
      <c r="A168" s="17">
        <v>45316</v>
      </c>
      <c r="B168" s="18">
        <v>1.5774999999999999</v>
      </c>
      <c r="C168" s="18">
        <v>0.163942</v>
      </c>
      <c r="D168" s="18">
        <v>0.16270000000000001</v>
      </c>
      <c r="E168" s="18">
        <v>0.56200000000000006</v>
      </c>
      <c r="F168" s="18">
        <v>6.0400000000000002E-2</v>
      </c>
      <c r="G168" s="18">
        <v>3.5673999999999997E-2</v>
      </c>
      <c r="H168" s="18">
        <v>0.61579399999999995</v>
      </c>
      <c r="I168" s="18">
        <v>5.79E-2</v>
      </c>
      <c r="J168" s="18">
        <v>0.16289999999999999</v>
      </c>
      <c r="K168" s="18">
        <v>0.32879999999999998</v>
      </c>
    </row>
    <row r="169" spans="1:11" x14ac:dyDescent="0.2">
      <c r="A169" s="17">
        <v>45317</v>
      </c>
      <c r="B169" s="18">
        <v>1.5911999999999999</v>
      </c>
      <c r="C169" s="18">
        <v>0.15757199999999999</v>
      </c>
      <c r="D169" s="18">
        <v>0.17849999999999999</v>
      </c>
      <c r="E169" s="18">
        <v>0.57042000000000004</v>
      </c>
      <c r="F169" s="18">
        <v>6.1400000000000003E-2</v>
      </c>
      <c r="G169" s="18">
        <v>3.5861999999999998E-2</v>
      </c>
      <c r="H169" s="18">
        <v>0.60993699999999995</v>
      </c>
      <c r="I169" s="18">
        <v>5.7099999999999998E-2</v>
      </c>
      <c r="J169" s="18">
        <v>0.16250000000000001</v>
      </c>
      <c r="K169" s="18">
        <v>0.33110000000000001</v>
      </c>
    </row>
    <row r="170" spans="1:11" x14ac:dyDescent="0.2">
      <c r="A170" s="17">
        <v>45320</v>
      </c>
      <c r="B170" s="18">
        <v>1.6126</v>
      </c>
      <c r="C170" s="18">
        <v>0.164738</v>
      </c>
      <c r="D170" s="18">
        <v>0.1852</v>
      </c>
      <c r="E170" s="18">
        <v>0.57579000000000002</v>
      </c>
      <c r="F170" s="18">
        <v>6.1400000000000003E-2</v>
      </c>
      <c r="G170" s="18">
        <v>3.6449000000000002E-2</v>
      </c>
      <c r="H170" s="18">
        <v>0.62426800000000005</v>
      </c>
      <c r="I170" s="18">
        <v>5.7700000000000001E-2</v>
      </c>
      <c r="J170" s="18">
        <v>0.16889999999999999</v>
      </c>
      <c r="K170" s="18">
        <v>0.34599999999999997</v>
      </c>
    </row>
    <row r="171" spans="1:11" x14ac:dyDescent="0.2">
      <c r="A171" s="17">
        <v>45321</v>
      </c>
      <c r="B171" s="18">
        <v>1.59</v>
      </c>
      <c r="C171" s="18">
        <v>0.163942</v>
      </c>
      <c r="D171" s="18">
        <v>0.18110000000000001</v>
      </c>
      <c r="E171" s="18">
        <v>0.56284999999999996</v>
      </c>
      <c r="F171" s="18">
        <v>5.79E-2</v>
      </c>
      <c r="G171" s="18">
        <v>3.4839000000000002E-2</v>
      </c>
      <c r="H171" s="18">
        <v>0.62735600000000002</v>
      </c>
      <c r="I171" s="18">
        <v>5.7799999999999997E-2</v>
      </c>
      <c r="J171" s="18">
        <v>0.16470000000000001</v>
      </c>
      <c r="K171" s="18">
        <v>0.33510000000000001</v>
      </c>
    </row>
    <row r="172" spans="1:11" x14ac:dyDescent="0.2">
      <c r="A172" s="17">
        <v>45322</v>
      </c>
      <c r="B172" s="18">
        <v>1.552</v>
      </c>
      <c r="C172" s="18">
        <v>0.16503699999999999</v>
      </c>
      <c r="D172" s="18">
        <v>0.17730000000000001</v>
      </c>
      <c r="E172" s="18">
        <v>0.56411</v>
      </c>
      <c r="F172" s="18">
        <v>5.62E-2</v>
      </c>
      <c r="G172" s="18">
        <v>3.4082000000000001E-2</v>
      </c>
      <c r="H172" s="18">
        <v>0.61489400000000005</v>
      </c>
      <c r="I172" s="18">
        <v>5.4600000000000003E-2</v>
      </c>
      <c r="J172" s="18">
        <v>0.15890000000000001</v>
      </c>
      <c r="K172" s="18">
        <v>0.32400000000000001</v>
      </c>
    </row>
    <row r="173" spans="1:11" x14ac:dyDescent="0.2">
      <c r="A173" s="17">
        <v>45323</v>
      </c>
      <c r="B173" s="18">
        <v>1.5928</v>
      </c>
      <c r="C173" s="18">
        <v>0.16722699999999999</v>
      </c>
      <c r="D173" s="18">
        <v>0.186</v>
      </c>
      <c r="E173" s="18">
        <v>0.56750999999999996</v>
      </c>
      <c r="F173" s="18">
        <v>5.7099999999999998E-2</v>
      </c>
      <c r="G173" s="18">
        <v>3.3987000000000003E-2</v>
      </c>
      <c r="H173" s="18">
        <v>0.62988500000000003</v>
      </c>
      <c r="I173" s="18">
        <v>5.3499999999999999E-2</v>
      </c>
      <c r="J173" s="18">
        <v>0.15870000000000001</v>
      </c>
      <c r="K173" s="18">
        <v>0.31969999999999998</v>
      </c>
    </row>
    <row r="174" spans="1:11" x14ac:dyDescent="0.2">
      <c r="A174" s="17">
        <v>45324</v>
      </c>
      <c r="B174" s="18">
        <v>1.7181</v>
      </c>
      <c r="C174" s="18">
        <v>0.16364400000000001</v>
      </c>
      <c r="D174" s="18">
        <v>0.182</v>
      </c>
      <c r="E174" s="18">
        <v>0.56464000000000003</v>
      </c>
      <c r="F174" s="18">
        <v>5.5399999999999998E-2</v>
      </c>
      <c r="G174" s="18">
        <v>3.3607999999999999E-2</v>
      </c>
      <c r="H174" s="18">
        <v>0.66119600000000001</v>
      </c>
      <c r="I174" s="18">
        <v>5.1400000000000001E-2</v>
      </c>
      <c r="J174" s="18">
        <v>0.17050000000000001</v>
      </c>
      <c r="K174" s="18">
        <v>0.32840000000000003</v>
      </c>
    </row>
    <row r="175" spans="1:11" x14ac:dyDescent="0.2">
      <c r="A175" s="17">
        <v>45327</v>
      </c>
      <c r="B175" s="18">
        <v>1.7031000000000001</v>
      </c>
      <c r="C175" s="18">
        <v>0.15757199999999999</v>
      </c>
      <c r="D175" s="18">
        <v>0.16639999999999999</v>
      </c>
      <c r="E175" s="18">
        <v>0.56206</v>
      </c>
      <c r="F175" s="18">
        <v>5.3800000000000001E-2</v>
      </c>
      <c r="G175" s="18">
        <v>3.3702999999999997E-2</v>
      </c>
      <c r="H175" s="18">
        <v>0.69289599999999996</v>
      </c>
      <c r="I175" s="18">
        <v>4.9799999999999997E-2</v>
      </c>
      <c r="J175" s="18">
        <v>0.16750000000000001</v>
      </c>
      <c r="K175" s="18">
        <v>0.31459999999999999</v>
      </c>
    </row>
    <row r="176" spans="1:11" x14ac:dyDescent="0.2">
      <c r="A176" s="17">
        <v>45328</v>
      </c>
      <c r="B176" s="18">
        <v>1.6915</v>
      </c>
      <c r="C176" s="18">
        <v>0.158965</v>
      </c>
      <c r="D176" s="18">
        <v>0.1706</v>
      </c>
      <c r="E176" s="18">
        <v>0.55588000000000004</v>
      </c>
      <c r="F176" s="18">
        <v>6.0299999999999999E-2</v>
      </c>
      <c r="G176" s="18">
        <v>3.3702999999999997E-2</v>
      </c>
      <c r="H176" s="18">
        <v>0.681813</v>
      </c>
      <c r="I176" s="18">
        <v>5.04E-2</v>
      </c>
      <c r="J176" s="18">
        <v>0.17449999999999999</v>
      </c>
      <c r="K176" s="18">
        <v>0.32050000000000001</v>
      </c>
    </row>
    <row r="177" spans="1:11" x14ac:dyDescent="0.2">
      <c r="A177" s="17">
        <v>45329</v>
      </c>
      <c r="B177" s="18">
        <v>1.7053</v>
      </c>
      <c r="C177" s="18">
        <v>0.156477</v>
      </c>
      <c r="D177" s="18">
        <v>0.1754</v>
      </c>
      <c r="E177" s="18">
        <v>0.55930000000000002</v>
      </c>
      <c r="F177" s="18">
        <v>5.8599999999999999E-2</v>
      </c>
      <c r="G177" s="18">
        <v>3.3607999999999999E-2</v>
      </c>
      <c r="H177" s="18">
        <v>0.70056200000000002</v>
      </c>
      <c r="I177" s="18">
        <v>4.9700000000000001E-2</v>
      </c>
      <c r="J177" s="18">
        <v>0.11409999999999999</v>
      </c>
      <c r="K177" s="18">
        <v>0.32519999999999999</v>
      </c>
    </row>
    <row r="178" spans="1:11" x14ac:dyDescent="0.2">
      <c r="A178" s="17">
        <v>45330</v>
      </c>
      <c r="B178" s="18">
        <v>1.6983999999999999</v>
      </c>
      <c r="C178" s="18">
        <v>0.15617800000000001</v>
      </c>
      <c r="D178" s="18">
        <v>0.21579999999999999</v>
      </c>
      <c r="E178" s="18">
        <v>0.55852999999999997</v>
      </c>
      <c r="F178" s="18">
        <v>5.8200000000000002E-2</v>
      </c>
      <c r="G178" s="18">
        <v>3.4839000000000002E-2</v>
      </c>
      <c r="H178" s="18">
        <v>0.69598400000000005</v>
      </c>
      <c r="I178" s="18">
        <v>5.2299999999999999E-2</v>
      </c>
      <c r="J178" s="18">
        <v>0.111</v>
      </c>
      <c r="K178" s="18">
        <v>0.33410000000000001</v>
      </c>
    </row>
    <row r="179" spans="1:11" x14ac:dyDescent="0.2">
      <c r="A179" s="17">
        <v>45331</v>
      </c>
      <c r="B179" s="18">
        <v>1.7444999999999999</v>
      </c>
      <c r="C179" s="18">
        <v>0.152396</v>
      </c>
      <c r="D179" s="18">
        <v>0.2389</v>
      </c>
      <c r="E179" s="18">
        <v>0.56132000000000004</v>
      </c>
      <c r="F179" s="18">
        <v>5.9299999999999999E-2</v>
      </c>
      <c r="G179" s="18">
        <v>3.3987000000000003E-2</v>
      </c>
      <c r="H179" s="18">
        <v>0.72089000000000003</v>
      </c>
      <c r="I179" s="18">
        <v>5.1499999999999997E-2</v>
      </c>
      <c r="J179" s="18">
        <v>0.1111</v>
      </c>
      <c r="K179" s="18">
        <v>0.3382</v>
      </c>
    </row>
    <row r="180" spans="1:11" x14ac:dyDescent="0.2">
      <c r="A180" s="17">
        <v>45334</v>
      </c>
      <c r="B180" s="18">
        <v>1.7234</v>
      </c>
      <c r="C180" s="18">
        <v>0.15418699999999999</v>
      </c>
      <c r="D180" s="18">
        <v>0.27279999999999999</v>
      </c>
      <c r="E180" s="18">
        <v>0.55784999999999996</v>
      </c>
      <c r="F180" s="18">
        <v>6.08E-2</v>
      </c>
      <c r="G180" s="18">
        <v>3.4271000000000003E-2</v>
      </c>
      <c r="H180" s="18">
        <v>0.72203899999999999</v>
      </c>
      <c r="I180" s="18">
        <v>5.33E-2</v>
      </c>
      <c r="J180" s="18">
        <v>0.1164</v>
      </c>
      <c r="K180" s="18">
        <v>0.34100000000000003</v>
      </c>
    </row>
    <row r="181" spans="1:11" x14ac:dyDescent="0.2">
      <c r="A181" s="17">
        <v>45335</v>
      </c>
      <c r="B181" s="18">
        <v>1.6863999999999999</v>
      </c>
      <c r="C181" s="18">
        <v>0.150504</v>
      </c>
      <c r="D181" s="18">
        <v>0.25719999999999998</v>
      </c>
      <c r="E181" s="18">
        <v>0.55452000000000001</v>
      </c>
      <c r="F181" s="18">
        <v>5.7000000000000002E-2</v>
      </c>
      <c r="G181" s="18">
        <v>3.304E-2</v>
      </c>
      <c r="H181" s="18">
        <v>0.72083900000000001</v>
      </c>
      <c r="I181" s="18">
        <v>5.1700000000000003E-2</v>
      </c>
      <c r="J181" s="18">
        <v>0.1114</v>
      </c>
      <c r="K181" s="18">
        <v>0.33110000000000001</v>
      </c>
    </row>
    <row r="182" spans="1:11" x14ac:dyDescent="0.2">
      <c r="A182" s="17">
        <v>45336</v>
      </c>
      <c r="B182" s="18">
        <v>1.7098</v>
      </c>
      <c r="C182" s="18">
        <v>0.15199699999999999</v>
      </c>
      <c r="D182" s="18">
        <v>0.29409999999999997</v>
      </c>
      <c r="E182" s="18">
        <v>0.57933000000000001</v>
      </c>
      <c r="F182" s="18">
        <v>0.06</v>
      </c>
      <c r="G182" s="18">
        <v>3.3323999999999999E-2</v>
      </c>
      <c r="H182" s="18">
        <v>0.73854900000000001</v>
      </c>
      <c r="I182" s="18">
        <v>5.1700000000000003E-2</v>
      </c>
      <c r="J182" s="18">
        <v>0.114</v>
      </c>
      <c r="K182" s="18">
        <v>0.34910000000000002</v>
      </c>
    </row>
    <row r="183" spans="1:11" x14ac:dyDescent="0.2">
      <c r="A183" s="17">
        <v>45337</v>
      </c>
      <c r="B183" s="18">
        <v>1.698</v>
      </c>
      <c r="C183" s="18">
        <v>0.1515</v>
      </c>
      <c r="D183" s="18">
        <v>0.2702</v>
      </c>
      <c r="E183" s="18">
        <v>0.59345999999999999</v>
      </c>
      <c r="F183" s="18">
        <v>6.0900000000000003E-2</v>
      </c>
      <c r="G183" s="18">
        <v>3.3230000000000003E-2</v>
      </c>
      <c r="H183" s="18">
        <v>0.726136</v>
      </c>
      <c r="I183" s="18">
        <v>5.0299999999999997E-2</v>
      </c>
      <c r="J183" s="18">
        <v>0.11600000000000001</v>
      </c>
      <c r="K183" s="18">
        <v>0.35020000000000001</v>
      </c>
    </row>
    <row r="184" spans="1:11" x14ac:dyDescent="0.2">
      <c r="A184" s="17">
        <v>45338</v>
      </c>
      <c r="B184" s="18">
        <v>1.6951000000000001</v>
      </c>
      <c r="C184" s="18">
        <v>0.14731900000000001</v>
      </c>
      <c r="D184" s="18">
        <v>0.26939999999999997</v>
      </c>
      <c r="E184" s="18">
        <v>0.58394999999999997</v>
      </c>
      <c r="F184" s="18">
        <v>6.1400000000000003E-2</v>
      </c>
      <c r="G184" s="18">
        <v>3.3607999999999999E-2</v>
      </c>
      <c r="H184" s="18">
        <v>0.72568600000000005</v>
      </c>
      <c r="I184" s="18">
        <v>4.8899999999999999E-2</v>
      </c>
      <c r="J184" s="18">
        <v>0.11169999999999999</v>
      </c>
      <c r="K184" s="18">
        <v>0.33900000000000002</v>
      </c>
    </row>
    <row r="185" spans="1:11" x14ac:dyDescent="0.2">
      <c r="A185" s="17">
        <v>45342</v>
      </c>
      <c r="B185" s="18">
        <v>1.6708000000000001</v>
      </c>
      <c r="C185" s="18">
        <v>0.146921</v>
      </c>
      <c r="D185" s="18">
        <v>0.24510000000000001</v>
      </c>
      <c r="E185" s="18">
        <v>0.57513000000000003</v>
      </c>
      <c r="F185" s="18">
        <v>5.96E-2</v>
      </c>
      <c r="G185" s="18">
        <v>3.304E-2</v>
      </c>
      <c r="H185" s="18">
        <v>0.69409600000000005</v>
      </c>
      <c r="I185" s="18">
        <v>4.6699999999999998E-2</v>
      </c>
      <c r="J185" s="18">
        <v>0.1095</v>
      </c>
      <c r="K185" s="18">
        <v>0.32019999999999998</v>
      </c>
    </row>
    <row r="186" spans="1:11" x14ac:dyDescent="0.2">
      <c r="A186" s="17">
        <v>45343</v>
      </c>
      <c r="B186" s="18">
        <v>1.6859</v>
      </c>
      <c r="C186" s="18">
        <v>0.146423</v>
      </c>
      <c r="D186" s="18">
        <v>0.22900000000000001</v>
      </c>
      <c r="E186" s="18">
        <v>0.57335000000000003</v>
      </c>
      <c r="F186" s="18">
        <v>5.9700000000000003E-2</v>
      </c>
      <c r="G186" s="18">
        <v>3.3418999999999997E-2</v>
      </c>
      <c r="H186" s="18">
        <v>0.67430800000000002</v>
      </c>
      <c r="I186" s="18">
        <v>4.8599999999999997E-2</v>
      </c>
      <c r="J186" s="18">
        <v>0.1074</v>
      </c>
      <c r="K186" s="18">
        <v>0.30830000000000002</v>
      </c>
    </row>
    <row r="187" spans="1:11" x14ac:dyDescent="0.2">
      <c r="A187" s="17">
        <v>45344</v>
      </c>
      <c r="B187" s="18">
        <v>1.7458</v>
      </c>
      <c r="C187" s="18">
        <v>0.15140000000000001</v>
      </c>
      <c r="D187" s="18">
        <v>0.24560000000000001</v>
      </c>
      <c r="E187" s="18">
        <v>0.58847000000000005</v>
      </c>
      <c r="F187" s="18">
        <v>5.8500000000000003E-2</v>
      </c>
      <c r="G187" s="18">
        <v>3.3891999999999999E-2</v>
      </c>
      <c r="H187" s="18">
        <v>0.78490000000000004</v>
      </c>
      <c r="I187" s="18">
        <v>4.82E-2</v>
      </c>
      <c r="J187" s="18">
        <v>0.10730000000000001</v>
      </c>
      <c r="K187" s="18">
        <v>0.31019999999999998</v>
      </c>
    </row>
    <row r="188" spans="1:11" x14ac:dyDescent="0.2">
      <c r="A188" s="17">
        <v>45345</v>
      </c>
      <c r="B188" s="18">
        <v>1.7499</v>
      </c>
      <c r="C188" s="18">
        <v>0.15159900000000001</v>
      </c>
      <c r="D188" s="18">
        <v>0.2399</v>
      </c>
      <c r="E188" s="18">
        <v>0.58355999999999997</v>
      </c>
      <c r="F188" s="18">
        <v>5.3999999999999999E-2</v>
      </c>
      <c r="G188" s="18">
        <v>3.3514000000000002E-2</v>
      </c>
      <c r="H188" s="18">
        <v>0.78768899999999997</v>
      </c>
      <c r="I188" s="18">
        <v>4.6699999999999998E-2</v>
      </c>
      <c r="J188" s="18">
        <v>0.108</v>
      </c>
      <c r="K188" s="18">
        <v>0.31259999999999999</v>
      </c>
    </row>
    <row r="189" spans="1:11" x14ac:dyDescent="0.2">
      <c r="A189" s="17">
        <v>45348</v>
      </c>
      <c r="B189" s="18">
        <v>1.7473000000000001</v>
      </c>
      <c r="C189" s="18">
        <v>0.14712</v>
      </c>
      <c r="D189" s="18">
        <v>0.29189999999999999</v>
      </c>
      <c r="E189" s="18">
        <v>0.58765000000000001</v>
      </c>
      <c r="F189" s="18">
        <v>5.6500000000000002E-2</v>
      </c>
      <c r="G189" s="18">
        <v>3.3418999999999997E-2</v>
      </c>
      <c r="H189" s="18">
        <v>0.79043699999999995</v>
      </c>
      <c r="I189" s="18">
        <v>4.7500000000000001E-2</v>
      </c>
      <c r="J189" s="18">
        <v>0.1072</v>
      </c>
      <c r="K189" s="18">
        <v>0.33040000000000003</v>
      </c>
    </row>
    <row r="190" spans="1:11" x14ac:dyDescent="0.2">
      <c r="A190" s="17">
        <v>45349</v>
      </c>
      <c r="B190" s="18">
        <v>1.7354000000000001</v>
      </c>
      <c r="C190" s="18">
        <v>0.15836800000000001</v>
      </c>
      <c r="D190" s="18">
        <v>0.30309999999999998</v>
      </c>
      <c r="E190" s="18">
        <v>0.60167000000000004</v>
      </c>
      <c r="F190" s="18">
        <v>5.7799999999999997E-2</v>
      </c>
      <c r="G190" s="18">
        <v>3.3798000000000002E-2</v>
      </c>
      <c r="H190" s="18">
        <v>0.78652900000000003</v>
      </c>
      <c r="I190" s="18">
        <v>4.8300000000000003E-2</v>
      </c>
      <c r="J190" s="18">
        <v>0.109</v>
      </c>
      <c r="K190" s="18">
        <v>0.31019999999999998</v>
      </c>
    </row>
    <row r="191" spans="1:11" x14ac:dyDescent="0.2">
      <c r="A191" s="17">
        <v>45350</v>
      </c>
      <c r="B191" s="18">
        <v>1.7316</v>
      </c>
      <c r="C191" s="18">
        <v>0.15398800000000001</v>
      </c>
      <c r="D191" s="18">
        <v>0.31030000000000002</v>
      </c>
      <c r="E191" s="18">
        <v>0.59648000000000001</v>
      </c>
      <c r="F191" s="18">
        <v>5.4300000000000001E-2</v>
      </c>
      <c r="G191" s="18">
        <v>3.3702999999999997E-2</v>
      </c>
      <c r="H191" s="18">
        <v>0.77615599999999996</v>
      </c>
      <c r="I191" s="18">
        <v>4.7800000000000002E-2</v>
      </c>
      <c r="J191" s="18">
        <v>0.11</v>
      </c>
      <c r="K191" s="18">
        <v>0.29289999999999999</v>
      </c>
    </row>
    <row r="192" spans="1:11" x14ac:dyDescent="0.2">
      <c r="A192" s="17">
        <v>45351</v>
      </c>
      <c r="B192" s="18">
        <v>1.7676000000000001</v>
      </c>
      <c r="C192" s="18">
        <v>0.15787000000000001</v>
      </c>
      <c r="D192" s="18">
        <v>0.25900000000000001</v>
      </c>
      <c r="E192" s="18">
        <v>0.60292000000000001</v>
      </c>
      <c r="F192" s="18">
        <v>5.7500000000000002E-2</v>
      </c>
      <c r="G192" s="18">
        <v>3.3418999999999997E-2</v>
      </c>
      <c r="H192" s="18">
        <v>0.79063700000000003</v>
      </c>
      <c r="I192" s="18">
        <v>4.6899999999999997E-2</v>
      </c>
      <c r="J192" s="18">
        <v>0.11020000000000001</v>
      </c>
      <c r="K192" s="18">
        <v>0.29320000000000002</v>
      </c>
    </row>
    <row r="193" spans="1:11" x14ac:dyDescent="0.2">
      <c r="A193" s="17">
        <v>45352</v>
      </c>
      <c r="B193" s="18">
        <v>1.7822</v>
      </c>
      <c r="C193" s="18">
        <v>0.15926399999999999</v>
      </c>
      <c r="D193" s="18">
        <v>0.27</v>
      </c>
      <c r="E193" s="18">
        <v>0.61934</v>
      </c>
      <c r="F193" s="18">
        <v>5.7799999999999997E-2</v>
      </c>
      <c r="G193" s="18">
        <v>3.3702999999999997E-2</v>
      </c>
      <c r="H193" s="18">
        <v>0.82228699999999999</v>
      </c>
      <c r="I193" s="18">
        <v>5.0900000000000001E-2</v>
      </c>
      <c r="J193" s="18">
        <v>0.1125</v>
      </c>
      <c r="K193" s="18">
        <v>0.28910000000000002</v>
      </c>
    </row>
    <row r="194" spans="1:11" x14ac:dyDescent="0.2">
      <c r="A194" s="17">
        <v>45355</v>
      </c>
      <c r="B194" s="18">
        <v>1.7758</v>
      </c>
      <c r="C194" s="18">
        <v>0.15996099999999999</v>
      </c>
      <c r="D194" s="18">
        <v>0.2571</v>
      </c>
      <c r="E194" s="18">
        <v>0.61582999999999999</v>
      </c>
      <c r="F194" s="18">
        <v>5.33E-2</v>
      </c>
      <c r="G194" s="18">
        <v>3.4175999999999998E-2</v>
      </c>
      <c r="H194" s="18">
        <v>0.85184899999999997</v>
      </c>
      <c r="I194" s="18">
        <v>5.11E-2</v>
      </c>
      <c r="J194" s="18">
        <v>0.1103</v>
      </c>
      <c r="K194" s="18">
        <v>0.27010000000000001</v>
      </c>
    </row>
    <row r="195" spans="1:11" x14ac:dyDescent="0.2">
      <c r="A195" s="17">
        <v>45356</v>
      </c>
      <c r="B195" s="18">
        <v>1.7412000000000001</v>
      </c>
      <c r="C195" s="18">
        <v>0.158169</v>
      </c>
      <c r="D195" s="18">
        <v>0.22259999999999999</v>
      </c>
      <c r="E195" s="18">
        <v>0.59850000000000003</v>
      </c>
      <c r="F195" s="18">
        <v>5.4800000000000001E-2</v>
      </c>
      <c r="G195" s="18">
        <v>3.3323999999999999E-2</v>
      </c>
      <c r="H195" s="18">
        <v>0.859155</v>
      </c>
      <c r="I195" s="18">
        <v>5.1200000000000002E-2</v>
      </c>
      <c r="J195" s="18">
        <v>0.1143</v>
      </c>
      <c r="K195" s="18">
        <v>0.26889999999999997</v>
      </c>
    </row>
    <row r="196" spans="1:11" x14ac:dyDescent="0.2">
      <c r="A196" s="17">
        <v>45357</v>
      </c>
      <c r="B196" s="18">
        <v>1.7351000000000001</v>
      </c>
      <c r="C196" s="18">
        <v>0.159363</v>
      </c>
      <c r="D196" s="18">
        <v>0.22620000000000001</v>
      </c>
      <c r="E196" s="18">
        <v>0.59769000000000005</v>
      </c>
      <c r="F196" s="18">
        <v>5.7700000000000001E-2</v>
      </c>
      <c r="G196" s="18">
        <v>3.4743999999999997E-2</v>
      </c>
      <c r="H196" s="18">
        <v>0.88649999999999995</v>
      </c>
      <c r="I196" s="18">
        <v>5.1400000000000001E-2</v>
      </c>
      <c r="J196" s="18">
        <v>0.1116</v>
      </c>
      <c r="K196" s="18">
        <v>0.27060000000000001</v>
      </c>
    </row>
    <row r="197" spans="1:11" x14ac:dyDescent="0.2">
      <c r="A197" s="17">
        <v>45358</v>
      </c>
      <c r="B197" s="18">
        <v>1.7682</v>
      </c>
      <c r="C197" s="18">
        <v>0.15587899999999999</v>
      </c>
      <c r="D197" s="18">
        <v>0.218</v>
      </c>
      <c r="E197" s="18">
        <v>0.60851</v>
      </c>
      <c r="F197" s="18">
        <v>5.7700000000000001E-2</v>
      </c>
      <c r="G197" s="18">
        <v>3.5027999999999997E-2</v>
      </c>
      <c r="H197" s="18">
        <v>0.92616699999999996</v>
      </c>
      <c r="I197" s="18">
        <v>5.1499999999999997E-2</v>
      </c>
      <c r="J197" s="18">
        <v>0.11849999999999999</v>
      </c>
      <c r="K197" s="18">
        <v>0.27339999999999998</v>
      </c>
    </row>
    <row r="198" spans="1:11" x14ac:dyDescent="0.2">
      <c r="A198" s="17">
        <v>45359</v>
      </c>
      <c r="B198" s="18">
        <v>1.7535000000000001</v>
      </c>
      <c r="C198" s="18">
        <v>0.16294700000000001</v>
      </c>
      <c r="D198" s="18">
        <v>0.23480000000000001</v>
      </c>
      <c r="E198" s="18">
        <v>0.60482000000000002</v>
      </c>
      <c r="F198" s="18">
        <v>5.8000000000000003E-2</v>
      </c>
      <c r="G198" s="18">
        <v>3.4271000000000003E-2</v>
      </c>
      <c r="H198" s="18">
        <v>0.87478599999999995</v>
      </c>
      <c r="I198" s="18">
        <v>5.2499999999999998E-2</v>
      </c>
      <c r="J198" s="18">
        <v>0.1239</v>
      </c>
      <c r="K198" s="18">
        <v>0.27060000000000001</v>
      </c>
    </row>
    <row r="199" spans="1:11" x14ac:dyDescent="0.2">
      <c r="A199" s="17">
        <v>45362</v>
      </c>
      <c r="B199" s="18">
        <v>1.7196</v>
      </c>
      <c r="C199" s="18">
        <v>0.161553</v>
      </c>
      <c r="D199" s="18">
        <v>0.2064</v>
      </c>
      <c r="E199" s="18">
        <v>0.60092999999999996</v>
      </c>
      <c r="F199" s="18">
        <v>6.0999999999999999E-2</v>
      </c>
      <c r="G199" s="18">
        <v>3.4366000000000001E-2</v>
      </c>
      <c r="H199" s="18">
        <v>0.85725600000000002</v>
      </c>
      <c r="I199" s="18">
        <v>5.4300000000000001E-2</v>
      </c>
      <c r="J199" s="18">
        <v>0.1187</v>
      </c>
      <c r="K199" s="18">
        <v>0.27100000000000002</v>
      </c>
    </row>
    <row r="200" spans="1:11" x14ac:dyDescent="0.2">
      <c r="A200" s="17">
        <v>45363</v>
      </c>
      <c r="B200" s="18">
        <v>1.7539</v>
      </c>
      <c r="C200" s="18">
        <v>0.16165299999999999</v>
      </c>
      <c r="D200" s="18">
        <v>0.2019</v>
      </c>
      <c r="E200" s="18">
        <v>0.61107999999999996</v>
      </c>
      <c r="F200" s="18">
        <v>6.1899999999999997E-2</v>
      </c>
      <c r="G200" s="18">
        <v>3.465E-2</v>
      </c>
      <c r="H200" s="18">
        <v>0.91861199999999998</v>
      </c>
      <c r="I200" s="18">
        <v>5.4100000000000002E-2</v>
      </c>
      <c r="J200" s="18">
        <v>0.1177</v>
      </c>
      <c r="K200" s="18">
        <v>0.25979999999999998</v>
      </c>
    </row>
    <row r="201" spans="1:11" x14ac:dyDescent="0.2">
      <c r="A201" s="17">
        <v>45364</v>
      </c>
      <c r="B201" s="18">
        <v>1.7656000000000001</v>
      </c>
      <c r="C201" s="18">
        <v>0.16573399999999999</v>
      </c>
      <c r="D201" s="18">
        <v>0.19700000000000001</v>
      </c>
      <c r="E201" s="18">
        <v>0.60945000000000005</v>
      </c>
      <c r="F201" s="18">
        <v>5.9200000000000003E-2</v>
      </c>
      <c r="G201" s="18">
        <v>3.4743999999999997E-2</v>
      </c>
      <c r="H201" s="18">
        <v>0.90836700000000004</v>
      </c>
      <c r="I201" s="18">
        <v>5.62E-2</v>
      </c>
      <c r="J201" s="18">
        <v>0.11899999999999999</v>
      </c>
      <c r="K201" s="18">
        <v>0.26179999999999998</v>
      </c>
    </row>
    <row r="202" spans="1:11" x14ac:dyDescent="0.2">
      <c r="A202" s="17">
        <v>45365</v>
      </c>
      <c r="B202" s="18">
        <v>1.7875000000000001</v>
      </c>
      <c r="C202" s="18">
        <v>0.16125500000000001</v>
      </c>
      <c r="D202" s="18">
        <v>0.18229999999999999</v>
      </c>
      <c r="E202" s="18">
        <v>0.61301000000000005</v>
      </c>
      <c r="F202" s="18">
        <v>5.5800000000000002E-2</v>
      </c>
      <c r="G202" s="18">
        <v>3.465E-2</v>
      </c>
      <c r="H202" s="18">
        <v>0.87894399999999995</v>
      </c>
      <c r="I202" s="18">
        <v>5.6599999999999998E-2</v>
      </c>
      <c r="J202" s="18">
        <v>0.1139</v>
      </c>
      <c r="K202" s="18">
        <v>0.26</v>
      </c>
    </row>
    <row r="203" spans="1:11" x14ac:dyDescent="0.2">
      <c r="A203" s="17">
        <v>45366</v>
      </c>
      <c r="B203" s="18">
        <v>1.7442</v>
      </c>
      <c r="C203" s="18">
        <v>0.161852</v>
      </c>
      <c r="D203" s="18">
        <v>0.19320000000000001</v>
      </c>
      <c r="E203" s="18">
        <v>0.60587999999999997</v>
      </c>
      <c r="F203" s="18">
        <v>5.5800000000000002E-2</v>
      </c>
      <c r="G203" s="18">
        <v>3.4934E-2</v>
      </c>
      <c r="H203" s="18">
        <v>0.87787499999999996</v>
      </c>
      <c r="I203" s="18">
        <v>5.8000000000000003E-2</v>
      </c>
      <c r="J203" s="18">
        <v>0.1119</v>
      </c>
      <c r="K203" s="18">
        <v>0.26090000000000002</v>
      </c>
    </row>
    <row r="204" spans="1:11" x14ac:dyDescent="0.2">
      <c r="A204" s="17">
        <v>45369</v>
      </c>
      <c r="B204" s="18">
        <v>1.7447999999999999</v>
      </c>
      <c r="C204" s="18">
        <v>0.16115499999999999</v>
      </c>
      <c r="D204" s="18">
        <v>0.19409999999999999</v>
      </c>
      <c r="E204" s="18">
        <v>0.61839</v>
      </c>
      <c r="F204" s="18">
        <v>5.5399999999999998E-2</v>
      </c>
      <c r="G204" s="18">
        <v>3.2946000000000003E-2</v>
      </c>
      <c r="H204" s="18">
        <v>0.88405100000000003</v>
      </c>
      <c r="I204" s="18">
        <v>5.7700000000000001E-2</v>
      </c>
      <c r="J204" s="18">
        <v>0.1106</v>
      </c>
      <c r="K204" s="18">
        <v>0.26069999999999999</v>
      </c>
    </row>
    <row r="205" spans="1:11" x14ac:dyDescent="0.2">
      <c r="A205" s="17">
        <v>45370</v>
      </c>
      <c r="B205" s="18">
        <v>1.7589999999999999</v>
      </c>
      <c r="C205" s="18">
        <v>0.16006000000000001</v>
      </c>
      <c r="D205" s="18">
        <v>0.19320000000000001</v>
      </c>
      <c r="E205" s="18">
        <v>0.62073999999999996</v>
      </c>
      <c r="F205" s="18">
        <v>5.1900000000000002E-2</v>
      </c>
      <c r="G205" s="18">
        <v>3.3323999999999999E-2</v>
      </c>
      <c r="H205" s="18">
        <v>0.89347600000000005</v>
      </c>
      <c r="I205" s="18">
        <v>6.0400000000000002E-2</v>
      </c>
      <c r="J205" s="18">
        <v>0.1105</v>
      </c>
      <c r="K205" s="18">
        <v>0.26</v>
      </c>
    </row>
    <row r="206" spans="1:11" x14ac:dyDescent="0.2">
      <c r="A206" s="17">
        <v>45371</v>
      </c>
      <c r="B206" s="18">
        <v>1.7815000000000001</v>
      </c>
      <c r="C206" s="18">
        <v>0.16772500000000001</v>
      </c>
      <c r="D206" s="18">
        <v>0.2243</v>
      </c>
      <c r="E206" s="18">
        <v>0.62768999999999997</v>
      </c>
      <c r="F206" s="18">
        <v>5.0999999999999997E-2</v>
      </c>
      <c r="G206" s="18">
        <v>3.3987000000000003E-2</v>
      </c>
      <c r="H206" s="18">
        <v>0.90320999999999996</v>
      </c>
      <c r="I206" s="18">
        <v>6.0999999999999999E-2</v>
      </c>
      <c r="J206" s="18">
        <v>0.112</v>
      </c>
      <c r="K206" s="18">
        <v>0.27150000000000002</v>
      </c>
    </row>
    <row r="207" spans="1:11" x14ac:dyDescent="0.2">
      <c r="A207" s="17">
        <v>45372</v>
      </c>
      <c r="B207" s="18">
        <v>1.7815000000000001</v>
      </c>
      <c r="C207" s="18">
        <v>0.16941700000000001</v>
      </c>
      <c r="D207" s="18">
        <v>0.21779999999999999</v>
      </c>
      <c r="E207" s="18">
        <v>0.62270999999999999</v>
      </c>
      <c r="F207" s="18">
        <v>0.05</v>
      </c>
      <c r="G207" s="18">
        <v>3.3891999999999999E-2</v>
      </c>
      <c r="H207" s="18">
        <v>0.91383400000000004</v>
      </c>
      <c r="I207" s="18">
        <v>6.0600000000000001E-2</v>
      </c>
      <c r="J207" s="18">
        <v>0.1116</v>
      </c>
      <c r="K207" s="18">
        <v>0.2757</v>
      </c>
    </row>
    <row r="208" spans="1:11" x14ac:dyDescent="0.2">
      <c r="A208" s="17">
        <v>45373</v>
      </c>
      <c r="B208" s="18">
        <v>1.7887</v>
      </c>
      <c r="C208" s="18">
        <v>0.170014</v>
      </c>
      <c r="D208" s="18">
        <v>0.2087</v>
      </c>
      <c r="E208" s="18">
        <v>0.62800999999999996</v>
      </c>
      <c r="F208" s="18">
        <v>4.8899999999999999E-2</v>
      </c>
      <c r="G208" s="18">
        <v>3.3891999999999999E-2</v>
      </c>
      <c r="H208" s="18">
        <v>0.94235800000000003</v>
      </c>
      <c r="I208" s="18">
        <v>5.9700000000000003E-2</v>
      </c>
      <c r="J208" s="18">
        <v>0.114</v>
      </c>
      <c r="K208" s="18">
        <v>0.26989999999999997</v>
      </c>
    </row>
    <row r="209" spans="1:11" x14ac:dyDescent="0.2">
      <c r="A209" s="17">
        <v>45376</v>
      </c>
      <c r="B209" s="18">
        <v>1.7970999999999999</v>
      </c>
      <c r="C209" s="18">
        <v>0.17031299999999999</v>
      </c>
      <c r="D209" s="18">
        <v>0.20949999999999999</v>
      </c>
      <c r="E209" s="18">
        <v>0.62746000000000002</v>
      </c>
      <c r="F209" s="18">
        <v>4.9099999999999998E-2</v>
      </c>
      <c r="G209" s="18">
        <v>3.3323999999999999E-2</v>
      </c>
      <c r="H209" s="18">
        <v>0.94948399999999999</v>
      </c>
      <c r="I209" s="18">
        <v>6.2199999999999998E-2</v>
      </c>
      <c r="J209" s="18">
        <v>0.11260000000000001</v>
      </c>
      <c r="K209" s="18">
        <v>0.27200000000000002</v>
      </c>
    </row>
    <row r="210" spans="1:11" x14ac:dyDescent="0.2">
      <c r="A210" s="17">
        <v>45377</v>
      </c>
      <c r="B210" s="18">
        <v>1.7829999999999999</v>
      </c>
      <c r="C210" s="18">
        <v>0.169516</v>
      </c>
      <c r="D210" s="18">
        <v>0.20380000000000001</v>
      </c>
      <c r="E210" s="18">
        <v>0.62924000000000002</v>
      </c>
      <c r="F210" s="18">
        <v>4.7800000000000002E-2</v>
      </c>
      <c r="G210" s="18">
        <v>3.3514000000000002E-2</v>
      </c>
      <c r="H210" s="18">
        <v>0.92508800000000002</v>
      </c>
      <c r="I210" s="18">
        <v>6.1199999999999997E-2</v>
      </c>
      <c r="J210" s="18">
        <v>0.11310000000000001</v>
      </c>
      <c r="K210" s="18">
        <v>0.26700000000000002</v>
      </c>
    </row>
    <row r="211" spans="1:11" x14ac:dyDescent="0.2">
      <c r="A211" s="17">
        <v>45378</v>
      </c>
      <c r="B211" s="18">
        <v>1.7983</v>
      </c>
      <c r="C211" s="18">
        <v>0.17110900000000001</v>
      </c>
      <c r="D211" s="18">
        <v>0.22070000000000001</v>
      </c>
      <c r="E211" s="18">
        <v>0.61353000000000002</v>
      </c>
      <c r="F211" s="18">
        <v>4.6699999999999998E-2</v>
      </c>
      <c r="G211" s="18">
        <v>3.4082000000000001E-2</v>
      </c>
      <c r="H211" s="18">
        <v>0.90199099999999999</v>
      </c>
      <c r="I211" s="18">
        <v>6.25E-2</v>
      </c>
      <c r="J211" s="18">
        <v>0.1145</v>
      </c>
      <c r="K211" s="18">
        <v>0.26989999999999997</v>
      </c>
    </row>
    <row r="212" spans="1:11" x14ac:dyDescent="0.2">
      <c r="A212" s="17">
        <v>45379</v>
      </c>
      <c r="B212" s="18">
        <v>1.8038000000000001</v>
      </c>
      <c r="C212" s="18">
        <v>0.16264799999999999</v>
      </c>
      <c r="D212" s="18">
        <v>0.2258</v>
      </c>
      <c r="E212" s="18">
        <v>0.60733000000000004</v>
      </c>
      <c r="F212" s="18">
        <v>4.4999999999999998E-2</v>
      </c>
      <c r="G212" s="18">
        <v>3.3514000000000002E-2</v>
      </c>
      <c r="H212" s="18">
        <v>0.90305000000000002</v>
      </c>
      <c r="I212" s="18">
        <v>6.2799999999999995E-2</v>
      </c>
      <c r="J212" s="18">
        <v>0.1148</v>
      </c>
      <c r="K212" s="18">
        <v>0.26700000000000002</v>
      </c>
    </row>
    <row r="213" spans="1:11" x14ac:dyDescent="0.2">
      <c r="A213" s="17">
        <v>45383</v>
      </c>
      <c r="B213" s="18">
        <v>1.8097000000000001</v>
      </c>
      <c r="C213" s="18">
        <v>0.161852</v>
      </c>
      <c r="D213" s="18">
        <v>0.21629999999999999</v>
      </c>
      <c r="E213" s="18">
        <v>0.61431000000000002</v>
      </c>
      <c r="F213" s="18">
        <v>4.6399999999999997E-2</v>
      </c>
      <c r="G213" s="18">
        <v>3.3134999999999998E-2</v>
      </c>
      <c r="H213" s="18">
        <v>0.90312000000000003</v>
      </c>
      <c r="I213" s="18">
        <v>6.3700000000000007E-2</v>
      </c>
      <c r="J213" s="18">
        <v>0.1125</v>
      </c>
      <c r="K213" s="18">
        <v>0.2661</v>
      </c>
    </row>
    <row r="214" spans="1:11" x14ac:dyDescent="0.2">
      <c r="A214" s="17">
        <v>45384</v>
      </c>
      <c r="B214" s="18">
        <v>1.8069</v>
      </c>
      <c r="C214" s="18">
        <v>0.154088</v>
      </c>
      <c r="D214" s="18">
        <v>0.1973</v>
      </c>
      <c r="E214" s="18">
        <v>0.61421000000000003</v>
      </c>
      <c r="F214" s="18">
        <v>4.5400000000000003E-2</v>
      </c>
      <c r="G214" s="18">
        <v>3.3134999999999998E-2</v>
      </c>
      <c r="H214" s="18">
        <v>0.89401600000000003</v>
      </c>
      <c r="I214" s="18">
        <v>6.59E-2</v>
      </c>
      <c r="J214" s="18">
        <v>0.1108</v>
      </c>
      <c r="K214" s="18">
        <v>0.26250000000000001</v>
      </c>
    </row>
    <row r="215" spans="1:11" x14ac:dyDescent="0.2">
      <c r="A215" s="17">
        <v>45385</v>
      </c>
      <c r="B215" s="18">
        <v>1.8241000000000001</v>
      </c>
      <c r="C215" s="18">
        <v>0.152694</v>
      </c>
      <c r="D215" s="18">
        <v>0.1943</v>
      </c>
      <c r="E215" s="18">
        <v>0.63007999999999997</v>
      </c>
      <c r="F215" s="18">
        <v>4.4900000000000002E-2</v>
      </c>
      <c r="G215" s="18">
        <v>3.3891999999999999E-2</v>
      </c>
      <c r="H215" s="18">
        <v>0.88913799999999998</v>
      </c>
      <c r="I215" s="18">
        <v>6.6799999999999998E-2</v>
      </c>
      <c r="J215" s="18">
        <v>0.1115</v>
      </c>
      <c r="K215" s="18">
        <v>0.2576</v>
      </c>
    </row>
    <row r="216" spans="1:11" x14ac:dyDescent="0.2">
      <c r="A216" s="17">
        <v>45386</v>
      </c>
      <c r="B216" s="18">
        <v>1.8</v>
      </c>
      <c r="C216" s="18">
        <v>0.14990700000000001</v>
      </c>
      <c r="D216" s="18">
        <v>0.1847</v>
      </c>
      <c r="E216" s="18">
        <v>0.61714000000000002</v>
      </c>
      <c r="F216" s="18">
        <v>4.4999999999999998E-2</v>
      </c>
      <c r="G216" s="18">
        <v>3.3418999999999997E-2</v>
      </c>
      <c r="H216" s="18">
        <v>0.85856500000000002</v>
      </c>
      <c r="I216" s="18">
        <v>6.54E-2</v>
      </c>
      <c r="J216" s="18">
        <v>0.11020000000000001</v>
      </c>
      <c r="K216" s="18">
        <v>0.25319999999999998</v>
      </c>
    </row>
    <row r="217" spans="1:11" x14ac:dyDescent="0.2">
      <c r="A217" s="17">
        <v>45387</v>
      </c>
      <c r="B217" s="18">
        <v>1.8507</v>
      </c>
      <c r="C217" s="18">
        <v>0.150504</v>
      </c>
      <c r="D217" s="18">
        <v>0.18429999999999999</v>
      </c>
      <c r="E217" s="18">
        <v>0.63617999999999997</v>
      </c>
      <c r="F217" s="18">
        <v>4.3900000000000002E-2</v>
      </c>
      <c r="G217" s="18">
        <v>3.304E-2</v>
      </c>
      <c r="H217" s="18">
        <v>0.87958400000000003</v>
      </c>
      <c r="I217" s="18">
        <v>6.5299999999999997E-2</v>
      </c>
      <c r="J217" s="18">
        <v>0.11</v>
      </c>
      <c r="K217" s="18">
        <v>0.25359999999999999</v>
      </c>
    </row>
    <row r="218" spans="1:11" x14ac:dyDescent="0.2">
      <c r="A218" s="17">
        <v>45390</v>
      </c>
      <c r="B218" s="18">
        <v>1.8519000000000001</v>
      </c>
      <c r="C218" s="18">
        <v>0.15587899999999999</v>
      </c>
      <c r="D218" s="18">
        <v>0.17949999999999999</v>
      </c>
      <c r="E218" s="18">
        <v>0.62841000000000002</v>
      </c>
      <c r="F218" s="18">
        <v>4.3700000000000003E-2</v>
      </c>
      <c r="G218" s="18">
        <v>3.2946000000000003E-2</v>
      </c>
      <c r="H218" s="18">
        <v>0.87083900000000003</v>
      </c>
      <c r="I218" s="18">
        <v>6.5500000000000003E-2</v>
      </c>
      <c r="J218" s="18">
        <v>0.1111</v>
      </c>
      <c r="K218" s="18">
        <v>0.2621</v>
      </c>
    </row>
    <row r="219" spans="1:11" x14ac:dyDescent="0.2">
      <c r="A219" s="17">
        <v>45391</v>
      </c>
      <c r="B219" s="18">
        <v>1.8567</v>
      </c>
      <c r="C219" s="18">
        <v>0.15428700000000001</v>
      </c>
      <c r="D219" s="18">
        <v>0.17979999999999999</v>
      </c>
      <c r="E219" s="18">
        <v>0.61819999999999997</v>
      </c>
      <c r="F219" s="18">
        <v>4.7100000000000003E-2</v>
      </c>
      <c r="G219" s="18">
        <v>3.3134999999999998E-2</v>
      </c>
      <c r="H219" s="18">
        <v>0.85305799999999998</v>
      </c>
      <c r="I219" s="18">
        <v>6.3799999999999996E-2</v>
      </c>
      <c r="J219" s="18">
        <v>0.1123</v>
      </c>
      <c r="K219" s="18">
        <v>0.27079999999999999</v>
      </c>
    </row>
    <row r="220" spans="1:11" x14ac:dyDescent="0.2">
      <c r="A220" s="17">
        <v>45392</v>
      </c>
      <c r="B220" s="18">
        <v>1.8594999999999999</v>
      </c>
      <c r="C220" s="18">
        <v>0.148812</v>
      </c>
      <c r="D220" s="18">
        <v>0.17380000000000001</v>
      </c>
      <c r="E220" s="18">
        <v>0.61858000000000002</v>
      </c>
      <c r="F220" s="18">
        <v>4.5900000000000003E-2</v>
      </c>
      <c r="G220" s="18">
        <v>3.2377999999999997E-2</v>
      </c>
      <c r="H220" s="18">
        <v>0.86989899999999998</v>
      </c>
      <c r="I220" s="18">
        <v>6.4299999999999996E-2</v>
      </c>
      <c r="J220" s="18">
        <v>0.10879999999999999</v>
      </c>
      <c r="K220" s="18">
        <v>0.25919999999999999</v>
      </c>
    </row>
    <row r="221" spans="1:11" x14ac:dyDescent="0.2">
      <c r="A221" s="17">
        <v>45393</v>
      </c>
      <c r="B221" s="18">
        <v>1.8905000000000001</v>
      </c>
      <c r="C221" s="18">
        <v>0.149011</v>
      </c>
      <c r="D221" s="18">
        <v>0.17599999999999999</v>
      </c>
      <c r="E221" s="18">
        <v>0.62878000000000001</v>
      </c>
      <c r="F221" s="18">
        <v>4.4600000000000001E-2</v>
      </c>
      <c r="G221" s="18">
        <v>3.2377999999999997E-2</v>
      </c>
      <c r="H221" s="18">
        <v>0.90564900000000004</v>
      </c>
      <c r="I221" s="18">
        <v>6.2199999999999998E-2</v>
      </c>
      <c r="J221" s="18">
        <v>0.11360000000000001</v>
      </c>
      <c r="K221" s="18">
        <v>0.26050000000000001</v>
      </c>
    </row>
    <row r="222" spans="1:11" x14ac:dyDescent="0.2">
      <c r="A222" s="17">
        <v>45394</v>
      </c>
      <c r="B222" s="18">
        <v>1.8613</v>
      </c>
      <c r="C222" s="18">
        <v>0.14293900000000001</v>
      </c>
      <c r="D222" s="18">
        <v>0.16109999999999999</v>
      </c>
      <c r="E222" s="18">
        <v>0.62282999999999999</v>
      </c>
      <c r="F222" s="18">
        <v>4.1099999999999998E-2</v>
      </c>
      <c r="G222" s="18">
        <v>3.1525999999999998E-2</v>
      </c>
      <c r="H222" s="18">
        <v>0.88136300000000001</v>
      </c>
      <c r="I222" s="18">
        <v>6.1800000000000001E-2</v>
      </c>
      <c r="J222" s="18">
        <v>0.1085</v>
      </c>
      <c r="K222" s="18">
        <v>0.25309999999999999</v>
      </c>
    </row>
    <row r="223" spans="1:11" x14ac:dyDescent="0.2">
      <c r="A223" s="17">
        <v>45397</v>
      </c>
      <c r="B223" s="18">
        <v>1.8362000000000001</v>
      </c>
      <c r="C223" s="18">
        <v>0.13995299999999999</v>
      </c>
      <c r="D223" s="18">
        <v>0.1515</v>
      </c>
      <c r="E223" s="18">
        <v>0.60714999999999997</v>
      </c>
      <c r="F223" s="18">
        <v>3.8899999999999997E-2</v>
      </c>
      <c r="G223" s="18">
        <v>3.1241999999999999E-2</v>
      </c>
      <c r="H223" s="18">
        <v>0.85952499999999998</v>
      </c>
      <c r="I223" s="18">
        <v>6.0499999999999998E-2</v>
      </c>
      <c r="J223" s="18">
        <v>0.10340000000000001</v>
      </c>
      <c r="K223" s="18">
        <v>0.24429999999999999</v>
      </c>
    </row>
    <row r="224" spans="1:11" x14ac:dyDescent="0.2">
      <c r="A224" s="17">
        <v>45398</v>
      </c>
      <c r="B224" s="18">
        <v>1.8331999999999999</v>
      </c>
      <c r="C224" s="18">
        <v>0.13836000000000001</v>
      </c>
      <c r="D224" s="18">
        <v>0.14599999999999999</v>
      </c>
      <c r="E224" s="18">
        <v>0.61751999999999996</v>
      </c>
      <c r="F224" s="18">
        <v>3.8100000000000002E-2</v>
      </c>
      <c r="G224" s="18">
        <v>3.1525999999999998E-2</v>
      </c>
      <c r="H224" s="18">
        <v>0.87365700000000002</v>
      </c>
      <c r="I224" s="18">
        <v>5.91E-2</v>
      </c>
      <c r="J224" s="18">
        <v>0.1041</v>
      </c>
      <c r="K224" s="18">
        <v>0.2394</v>
      </c>
    </row>
    <row r="225" spans="1:11" x14ac:dyDescent="0.2">
      <c r="A225" s="17">
        <v>45399</v>
      </c>
      <c r="B225" s="18">
        <v>1.8128</v>
      </c>
      <c r="C225" s="18">
        <v>0.14055000000000001</v>
      </c>
      <c r="D225" s="18">
        <v>0.14630000000000001</v>
      </c>
      <c r="E225" s="18">
        <v>0.61368999999999996</v>
      </c>
      <c r="F225" s="18">
        <v>3.9100000000000003E-2</v>
      </c>
      <c r="G225" s="18">
        <v>3.1525999999999998E-2</v>
      </c>
      <c r="H225" s="18">
        <v>0.83987599999999996</v>
      </c>
      <c r="I225" s="18">
        <v>5.6800000000000003E-2</v>
      </c>
      <c r="J225" s="18">
        <v>0.109</v>
      </c>
      <c r="K225" s="18">
        <v>0.23719999999999999</v>
      </c>
    </row>
    <row r="226" spans="1:11" x14ac:dyDescent="0.2">
      <c r="A226" s="17">
        <v>45400</v>
      </c>
      <c r="B226" s="18">
        <v>1.7922</v>
      </c>
      <c r="C226" s="18">
        <v>0.141148</v>
      </c>
      <c r="D226" s="18">
        <v>0.15029999999999999</v>
      </c>
      <c r="E226" s="18">
        <v>0.61055999999999999</v>
      </c>
      <c r="F226" s="18">
        <v>0.04</v>
      </c>
      <c r="G226" s="18">
        <v>3.2661999999999997E-2</v>
      </c>
      <c r="H226" s="18">
        <v>0.84623199999999998</v>
      </c>
      <c r="I226" s="18">
        <v>5.5500000000000001E-2</v>
      </c>
      <c r="J226" s="18">
        <v>0.1163</v>
      </c>
      <c r="K226" s="18">
        <v>0.23430000000000001</v>
      </c>
    </row>
    <row r="227" spans="1:11" x14ac:dyDescent="0.2">
      <c r="A227" s="17">
        <v>45401</v>
      </c>
      <c r="B227" s="18">
        <v>1.7463</v>
      </c>
      <c r="C227" s="18">
        <v>0.14055000000000001</v>
      </c>
      <c r="D227" s="18">
        <v>0.16500000000000001</v>
      </c>
      <c r="E227" s="18">
        <v>0.55503999999999998</v>
      </c>
      <c r="F227" s="18">
        <v>3.7999999999999999E-2</v>
      </c>
      <c r="G227" s="18">
        <v>3.3323999999999999E-2</v>
      </c>
      <c r="H227" s="18">
        <v>0.76156999999999997</v>
      </c>
      <c r="I227" s="18">
        <v>5.67E-2</v>
      </c>
      <c r="J227" s="18">
        <v>0.1116</v>
      </c>
      <c r="K227" s="18">
        <v>0.22889999999999999</v>
      </c>
    </row>
    <row r="228" spans="1:11" x14ac:dyDescent="0.2">
      <c r="A228" s="17">
        <v>45404</v>
      </c>
      <c r="B228" s="18">
        <v>1.7723</v>
      </c>
      <c r="C228" s="18">
        <v>0.14214299999999999</v>
      </c>
      <c r="D228" s="18">
        <v>0.17549999999999999</v>
      </c>
      <c r="E228" s="18">
        <v>0.55459999999999998</v>
      </c>
      <c r="F228" s="18">
        <v>0.04</v>
      </c>
      <c r="G228" s="18">
        <v>3.5366000000000002E-2</v>
      </c>
      <c r="H228" s="18">
        <v>0.79473099999999997</v>
      </c>
      <c r="I228" s="18">
        <v>5.8099999999999999E-2</v>
      </c>
      <c r="J228" s="18">
        <v>0.1114</v>
      </c>
      <c r="K228" s="18">
        <v>0.22889999999999999</v>
      </c>
    </row>
    <row r="229" spans="1:11" x14ac:dyDescent="0.2">
      <c r="A229" s="17">
        <v>45405</v>
      </c>
      <c r="B229" s="18">
        <v>1.7954000000000001</v>
      </c>
      <c r="C229" s="18">
        <v>0.14721899999999999</v>
      </c>
      <c r="D229" s="18">
        <v>0.19439999999999999</v>
      </c>
      <c r="E229" s="18">
        <v>0.57774999999999999</v>
      </c>
      <c r="F229" s="18">
        <v>4.0099999999999997E-2</v>
      </c>
      <c r="G229" s="18">
        <v>3.5270000000000003E-2</v>
      </c>
      <c r="H229" s="18">
        <v>0.82376499999999997</v>
      </c>
      <c r="I229" s="18">
        <v>5.9400000000000001E-2</v>
      </c>
      <c r="J229" s="18">
        <v>0.1139</v>
      </c>
      <c r="K229" s="18">
        <v>0.23100000000000001</v>
      </c>
    </row>
    <row r="230" spans="1:11" x14ac:dyDescent="0.2">
      <c r="A230" s="17">
        <v>45406</v>
      </c>
      <c r="B230" s="18">
        <v>1.7659</v>
      </c>
      <c r="C230" s="18">
        <v>0.14940899999999999</v>
      </c>
      <c r="D230" s="18">
        <v>0.19089999999999999</v>
      </c>
      <c r="E230" s="18">
        <v>0.55511999999999995</v>
      </c>
      <c r="F230" s="18">
        <v>4.1500000000000002E-2</v>
      </c>
      <c r="G230" s="18">
        <v>3.4981999999999999E-2</v>
      </c>
      <c r="H230" s="18">
        <v>0.79632099999999995</v>
      </c>
      <c r="I230" s="18">
        <v>5.7799999999999997E-2</v>
      </c>
      <c r="J230" s="18">
        <v>0.1108</v>
      </c>
      <c r="K230" s="18">
        <v>0.23569999999999999</v>
      </c>
    </row>
    <row r="231" spans="1:11" x14ac:dyDescent="0.2">
      <c r="A231" s="17">
        <v>45407</v>
      </c>
      <c r="B231" s="18">
        <v>1.7366999999999999</v>
      </c>
      <c r="C231" s="18">
        <v>0.15110199999999999</v>
      </c>
      <c r="D231" s="18">
        <v>0.19009999999999999</v>
      </c>
      <c r="E231" s="18">
        <v>0.56479999999999997</v>
      </c>
      <c r="F231" s="18">
        <v>4.1300000000000003E-2</v>
      </c>
      <c r="G231" s="18">
        <v>3.4887000000000001E-2</v>
      </c>
      <c r="H231" s="18">
        <v>0.82585399999999998</v>
      </c>
      <c r="I231" s="18">
        <v>5.74E-2</v>
      </c>
      <c r="J231" s="18">
        <v>0.114</v>
      </c>
      <c r="K231" s="18">
        <v>0.23319999999999999</v>
      </c>
    </row>
    <row r="232" spans="1:11" x14ac:dyDescent="0.2">
      <c r="A232" s="17">
        <v>45408</v>
      </c>
      <c r="B232" s="18">
        <v>1.7962</v>
      </c>
      <c r="C232" s="18">
        <v>0.15010599999999999</v>
      </c>
      <c r="D232" s="18">
        <v>0.1943</v>
      </c>
      <c r="E232" s="18">
        <v>0.56123000000000001</v>
      </c>
      <c r="F232" s="18">
        <v>4.4900000000000002E-2</v>
      </c>
      <c r="G232" s="18">
        <v>3.4981999999999999E-2</v>
      </c>
      <c r="H232" s="18">
        <v>0.87685500000000005</v>
      </c>
      <c r="I232" s="18">
        <v>5.8700000000000002E-2</v>
      </c>
      <c r="J232" s="18">
        <v>0.14549999999999999</v>
      </c>
      <c r="K232" s="18">
        <v>0.24129999999999999</v>
      </c>
    </row>
    <row r="233" spans="1:11" x14ac:dyDescent="0.2">
      <c r="A233" s="17">
        <v>45411</v>
      </c>
      <c r="B233" s="18">
        <v>1.8096000000000001</v>
      </c>
      <c r="C233" s="18">
        <v>0.15060399999999999</v>
      </c>
      <c r="D233" s="18">
        <v>0.18029999999999999</v>
      </c>
      <c r="E233" s="18">
        <v>0.55949000000000004</v>
      </c>
      <c r="F233" s="18">
        <v>4.5999999999999999E-2</v>
      </c>
      <c r="G233" s="18">
        <v>3.5270000000000003E-2</v>
      </c>
      <c r="H233" s="18">
        <v>0.87707500000000005</v>
      </c>
      <c r="I233" s="18">
        <v>5.8200000000000002E-2</v>
      </c>
      <c r="J233" s="18">
        <v>0.1449</v>
      </c>
      <c r="K233" s="18">
        <v>0.24990000000000001</v>
      </c>
    </row>
    <row r="234" spans="1:11" x14ac:dyDescent="0.2">
      <c r="A234" s="17">
        <v>45412</v>
      </c>
      <c r="B234" s="18">
        <v>1.75</v>
      </c>
      <c r="C234" s="18">
        <v>0.14751800000000001</v>
      </c>
      <c r="D234" s="18">
        <v>0.16059999999999999</v>
      </c>
      <c r="E234" s="18">
        <v>0.55064000000000002</v>
      </c>
      <c r="F234" s="18">
        <v>4.7199999999999999E-2</v>
      </c>
      <c r="G234" s="18">
        <v>3.4981999999999999E-2</v>
      </c>
      <c r="H234" s="18">
        <v>0.863533</v>
      </c>
      <c r="I234" s="18">
        <v>5.2200000000000003E-2</v>
      </c>
      <c r="J234" s="18">
        <v>0.15049999999999999</v>
      </c>
      <c r="K234" s="18">
        <v>0.2427</v>
      </c>
    </row>
    <row r="235" spans="1:11" x14ac:dyDescent="0.2">
      <c r="A235" s="17">
        <v>45413</v>
      </c>
      <c r="B235" s="18">
        <v>1.79</v>
      </c>
      <c r="C235" s="18">
        <v>0.144034</v>
      </c>
      <c r="D235" s="18">
        <v>0.16070000000000001</v>
      </c>
      <c r="E235" s="18">
        <v>0.55171000000000003</v>
      </c>
      <c r="F235" s="18">
        <v>5.2699999999999997E-2</v>
      </c>
      <c r="G235" s="18">
        <v>3.4981999999999999E-2</v>
      </c>
      <c r="H235" s="18">
        <v>0.82994100000000004</v>
      </c>
      <c r="I235" s="18">
        <v>5.2699999999999997E-2</v>
      </c>
      <c r="J235" s="18">
        <v>0.15859999999999999</v>
      </c>
      <c r="K235" s="18">
        <v>0.2455</v>
      </c>
    </row>
    <row r="236" spans="1:11" x14ac:dyDescent="0.2">
      <c r="A236" s="17">
        <v>45414</v>
      </c>
      <c r="B236" s="18">
        <v>1.8472</v>
      </c>
      <c r="C236" s="18">
        <v>0.14393500000000001</v>
      </c>
      <c r="D236" s="18">
        <v>0.17069999999999999</v>
      </c>
      <c r="E236" s="18">
        <v>0.56515000000000004</v>
      </c>
      <c r="F236" s="18">
        <v>5.5899999999999998E-2</v>
      </c>
      <c r="G236" s="18">
        <v>3.5173999999999997E-2</v>
      </c>
      <c r="H236" s="18">
        <v>0.85768599999999995</v>
      </c>
      <c r="I236" s="18">
        <v>5.3699999999999998E-2</v>
      </c>
      <c r="J236" s="18">
        <v>0.16300000000000001</v>
      </c>
      <c r="K236" s="18">
        <v>0.24160000000000001</v>
      </c>
    </row>
    <row r="237" spans="1:11" x14ac:dyDescent="0.2">
      <c r="A237" s="17">
        <v>45415</v>
      </c>
      <c r="B237" s="18">
        <v>1.8621000000000001</v>
      </c>
      <c r="C237" s="18">
        <v>0.143736</v>
      </c>
      <c r="D237" s="18">
        <v>0.17519999999999999</v>
      </c>
      <c r="E237" s="18">
        <v>0.57933999999999997</v>
      </c>
      <c r="F237" s="18">
        <v>5.57E-2</v>
      </c>
      <c r="G237" s="18">
        <v>3.5366000000000002E-2</v>
      </c>
      <c r="H237" s="18">
        <v>0.88738899999999998</v>
      </c>
      <c r="I237" s="18">
        <v>5.57E-2</v>
      </c>
      <c r="J237" s="18">
        <v>0.16250000000000001</v>
      </c>
      <c r="K237" s="18">
        <v>0.24740000000000001</v>
      </c>
    </row>
    <row r="238" spans="1:11" x14ac:dyDescent="0.2">
      <c r="A238" s="17">
        <v>45418</v>
      </c>
      <c r="B238" s="18">
        <v>1.887</v>
      </c>
      <c r="C238" s="18">
        <v>0.14532800000000001</v>
      </c>
      <c r="D238" s="18">
        <v>0.20669999999999999</v>
      </c>
      <c r="E238" s="18">
        <v>0.59697</v>
      </c>
      <c r="F238" s="18">
        <v>5.6899999999999999E-2</v>
      </c>
      <c r="G238" s="18">
        <v>3.5652999999999997E-2</v>
      </c>
      <c r="H238" s="18">
        <v>0.92088000000000003</v>
      </c>
      <c r="I238" s="18">
        <v>5.67E-2</v>
      </c>
      <c r="J238" s="18">
        <v>0.16839999999999999</v>
      </c>
      <c r="K238" s="18">
        <v>0.25490000000000002</v>
      </c>
    </row>
    <row r="239" spans="1:11" x14ac:dyDescent="0.2">
      <c r="A239" s="17">
        <v>45419</v>
      </c>
      <c r="B239" s="18">
        <v>1.8875999999999999</v>
      </c>
      <c r="C239" s="18">
        <v>0.14055000000000001</v>
      </c>
      <c r="D239" s="18">
        <v>0.2021</v>
      </c>
      <c r="E239" s="18">
        <v>0.60599999999999998</v>
      </c>
      <c r="F239" s="18">
        <v>5.5100000000000003E-2</v>
      </c>
      <c r="G239" s="18">
        <v>3.5845000000000002E-2</v>
      </c>
      <c r="H239" s="18">
        <v>0.90502899999999997</v>
      </c>
      <c r="I239" s="18">
        <v>5.7200000000000001E-2</v>
      </c>
      <c r="J239" s="18">
        <v>0.1714</v>
      </c>
      <c r="K239" s="18">
        <v>0.25319999999999998</v>
      </c>
    </row>
    <row r="240" spans="1:11" x14ac:dyDescent="0.2">
      <c r="A240" s="17">
        <v>45420</v>
      </c>
      <c r="B240" s="18">
        <v>1.88</v>
      </c>
      <c r="C240" s="18">
        <v>0.142342</v>
      </c>
      <c r="D240" s="18">
        <v>0.2009</v>
      </c>
      <c r="E240" s="18">
        <v>0.60946999999999996</v>
      </c>
      <c r="F240" s="18">
        <v>5.2200000000000003E-2</v>
      </c>
      <c r="G240" s="18">
        <v>3.5749000000000003E-2</v>
      </c>
      <c r="H240" s="18">
        <v>0.90361000000000002</v>
      </c>
      <c r="I240" s="18">
        <v>5.7500000000000002E-2</v>
      </c>
      <c r="J240" s="18">
        <v>0.16739999999999999</v>
      </c>
      <c r="K240" s="18">
        <v>0.24099999999999999</v>
      </c>
    </row>
    <row r="241" spans="1:11" x14ac:dyDescent="0.2">
      <c r="A241" s="17">
        <v>45421</v>
      </c>
      <c r="B241" s="18">
        <v>1.895</v>
      </c>
      <c r="C241" s="18">
        <v>0.14493</v>
      </c>
      <c r="D241" s="18">
        <v>0.19650000000000001</v>
      </c>
      <c r="E241" s="18">
        <v>0.61209000000000002</v>
      </c>
      <c r="F241" s="18">
        <v>5.33E-2</v>
      </c>
      <c r="G241" s="18">
        <v>3.5652999999999997E-2</v>
      </c>
      <c r="H241" s="18">
        <v>0.88697000000000004</v>
      </c>
      <c r="I241" s="18">
        <v>5.8799999999999998E-2</v>
      </c>
      <c r="J241" s="18">
        <v>0.16550000000000001</v>
      </c>
      <c r="K241" s="18">
        <v>0.24160000000000001</v>
      </c>
    </row>
    <row r="242" spans="1:11" x14ac:dyDescent="0.2">
      <c r="A242" s="17">
        <v>45422</v>
      </c>
      <c r="B242" s="18">
        <v>1.8748</v>
      </c>
      <c r="C242" s="18">
        <v>0.14363600000000001</v>
      </c>
      <c r="D242" s="18">
        <v>0.1716</v>
      </c>
      <c r="E242" s="18">
        <v>0.61087000000000002</v>
      </c>
      <c r="F242" s="18">
        <v>5.0700000000000002E-2</v>
      </c>
      <c r="G242" s="18">
        <v>3.5652999999999997E-2</v>
      </c>
      <c r="H242" s="18">
        <v>0.89827299999999999</v>
      </c>
      <c r="I242" s="18">
        <v>5.7599999999999998E-2</v>
      </c>
      <c r="J242" s="18">
        <v>0.16009999999999999</v>
      </c>
      <c r="K242" s="18">
        <v>0.21690000000000001</v>
      </c>
    </row>
    <row r="243" spans="1:11" x14ac:dyDescent="0.2">
      <c r="A243" s="17">
        <v>45425</v>
      </c>
      <c r="B243" s="18">
        <v>1.8656999999999999</v>
      </c>
      <c r="C243" s="18">
        <v>0.14493</v>
      </c>
      <c r="D243" s="18">
        <v>0.1726</v>
      </c>
      <c r="E243" s="18">
        <v>0.61658999999999997</v>
      </c>
      <c r="F243" s="18">
        <v>5.4100000000000002E-2</v>
      </c>
      <c r="G243" s="18">
        <v>3.6324000000000002E-2</v>
      </c>
      <c r="H243" s="18">
        <v>0.90347999999999995</v>
      </c>
      <c r="I243" s="18">
        <v>5.8099999999999999E-2</v>
      </c>
      <c r="J243" s="18">
        <v>0.15759999999999999</v>
      </c>
      <c r="K243" s="18">
        <v>0.22689999999999999</v>
      </c>
    </row>
    <row r="244" spans="1:11" x14ac:dyDescent="0.2">
      <c r="A244" s="17">
        <v>45426</v>
      </c>
      <c r="B244" s="18">
        <v>1.8707</v>
      </c>
      <c r="C244" s="18">
        <v>0.14453199999999999</v>
      </c>
      <c r="D244" s="18">
        <v>0.1807</v>
      </c>
      <c r="E244" s="18">
        <v>0.61365999999999998</v>
      </c>
      <c r="F244" s="18">
        <v>5.79E-2</v>
      </c>
      <c r="G244" s="18">
        <v>3.7665999999999998E-2</v>
      </c>
      <c r="H244" s="18">
        <v>0.913045</v>
      </c>
      <c r="I244" s="18">
        <v>6.0100000000000001E-2</v>
      </c>
      <c r="J244" s="18">
        <v>0.15620000000000001</v>
      </c>
      <c r="K244" s="18">
        <v>0.2303</v>
      </c>
    </row>
    <row r="245" spans="1:11" x14ac:dyDescent="0.2">
      <c r="A245" s="17">
        <v>45427</v>
      </c>
      <c r="B245" s="18">
        <v>1.8599000000000001</v>
      </c>
      <c r="C245" s="18">
        <v>0.14791599999999999</v>
      </c>
      <c r="D245" s="18">
        <v>0.20200000000000001</v>
      </c>
      <c r="E245" s="18">
        <v>0.61351999999999995</v>
      </c>
      <c r="F245" s="18">
        <v>5.33E-2</v>
      </c>
      <c r="G245" s="18">
        <v>3.7090999999999999E-2</v>
      </c>
      <c r="H245" s="18">
        <v>0.945766</v>
      </c>
      <c r="I245" s="18">
        <v>6.0400000000000002E-2</v>
      </c>
      <c r="J245" s="18">
        <v>0.16209999999999999</v>
      </c>
      <c r="K245" s="18">
        <v>0.2238</v>
      </c>
    </row>
    <row r="246" spans="1:11" x14ac:dyDescent="0.2">
      <c r="A246" s="17">
        <v>45428</v>
      </c>
      <c r="B246" s="18">
        <v>1.8363</v>
      </c>
      <c r="C246" s="18">
        <v>0.148314</v>
      </c>
      <c r="D246" s="18">
        <v>0.19650000000000001</v>
      </c>
      <c r="E246" s="18">
        <v>0.61051999999999995</v>
      </c>
      <c r="F246" s="18">
        <v>5.2600000000000001E-2</v>
      </c>
      <c r="G246" s="18">
        <v>3.7186999999999998E-2</v>
      </c>
      <c r="H246" s="18">
        <v>0.94305799999999995</v>
      </c>
      <c r="I246" s="18">
        <v>0.06</v>
      </c>
      <c r="J246" s="18">
        <v>0.16020000000000001</v>
      </c>
      <c r="K246" s="18">
        <v>0.22090000000000001</v>
      </c>
    </row>
    <row r="247" spans="1:11" x14ac:dyDescent="0.2">
      <c r="A247" s="17">
        <v>45429</v>
      </c>
      <c r="B247" s="18">
        <v>1.847</v>
      </c>
      <c r="C247" s="18">
        <v>0.14931</v>
      </c>
      <c r="D247" s="18">
        <v>0.19450000000000001</v>
      </c>
      <c r="E247" s="18">
        <v>0.62109999999999999</v>
      </c>
      <c r="F247" s="18">
        <v>5.28E-2</v>
      </c>
      <c r="G247" s="18">
        <v>3.7474E-2</v>
      </c>
      <c r="H247" s="18">
        <v>0.92426799999999998</v>
      </c>
      <c r="I247" s="18">
        <v>6.0299999999999999E-2</v>
      </c>
      <c r="J247" s="18">
        <v>0.1605</v>
      </c>
      <c r="K247" s="18">
        <v>0.2167</v>
      </c>
    </row>
    <row r="248" spans="1:11" x14ac:dyDescent="0.2">
      <c r="A248" s="17">
        <v>45432</v>
      </c>
      <c r="B248" s="18">
        <v>1.8353999999999999</v>
      </c>
      <c r="C248" s="18">
        <v>0.16016</v>
      </c>
      <c r="D248" s="18">
        <v>0.22320000000000001</v>
      </c>
      <c r="E248" s="18">
        <v>0.64081999999999995</v>
      </c>
      <c r="F248" s="18">
        <v>5.2200000000000003E-2</v>
      </c>
      <c r="G248" s="18">
        <v>3.6516E-2</v>
      </c>
      <c r="H248" s="18">
        <v>0.94726600000000005</v>
      </c>
      <c r="I248" s="18">
        <v>6.2399999999999997E-2</v>
      </c>
      <c r="J248" s="18">
        <v>0.1643</v>
      </c>
      <c r="K248" s="18">
        <v>0.2127</v>
      </c>
    </row>
    <row r="249" spans="1:11" x14ac:dyDescent="0.2">
      <c r="A249" s="17">
        <v>45433</v>
      </c>
      <c r="B249" s="18">
        <v>1.8314999999999999</v>
      </c>
      <c r="C249" s="18">
        <v>0.16125500000000001</v>
      </c>
      <c r="D249" s="18">
        <v>0.2135</v>
      </c>
      <c r="E249" s="18">
        <v>0.65061000000000002</v>
      </c>
      <c r="F249" s="18">
        <v>5.2499999999999998E-2</v>
      </c>
      <c r="G249" s="18">
        <v>3.6803000000000002E-2</v>
      </c>
      <c r="H249" s="18">
        <v>0.953322</v>
      </c>
      <c r="I249" s="18">
        <v>6.1600000000000002E-2</v>
      </c>
      <c r="J249" s="18">
        <v>0.15629999999999999</v>
      </c>
      <c r="K249" s="18">
        <v>0.2056</v>
      </c>
    </row>
    <row r="250" spans="1:11" x14ac:dyDescent="0.2">
      <c r="A250" s="17">
        <v>45434</v>
      </c>
      <c r="B250" s="18">
        <v>1.8312999999999999</v>
      </c>
      <c r="C250" s="18">
        <v>0.15578</v>
      </c>
      <c r="D250" s="18">
        <v>0.21240000000000001</v>
      </c>
      <c r="E250" s="18">
        <v>0.64046999999999998</v>
      </c>
      <c r="F250" s="18">
        <v>5.2400000000000002E-2</v>
      </c>
      <c r="G250" s="18">
        <v>3.7858000000000003E-2</v>
      </c>
      <c r="H250" s="18">
        <v>0.94896400000000003</v>
      </c>
      <c r="I250" s="18">
        <v>5.9200000000000003E-2</v>
      </c>
      <c r="J250" s="18">
        <v>0.15909999999999999</v>
      </c>
      <c r="K250" s="18">
        <v>0.20449999999999999</v>
      </c>
    </row>
    <row r="251" spans="1:11" x14ac:dyDescent="0.2">
      <c r="A251" s="17">
        <v>45435</v>
      </c>
      <c r="B251" s="18">
        <v>1.8105</v>
      </c>
      <c r="C251" s="18">
        <v>0.14712</v>
      </c>
      <c r="D251" s="18">
        <v>0.20080000000000001</v>
      </c>
      <c r="E251" s="18">
        <v>0.63566999999999996</v>
      </c>
      <c r="F251" s="18">
        <v>4.8000000000000001E-2</v>
      </c>
      <c r="G251" s="18">
        <v>3.6899000000000001E-2</v>
      </c>
      <c r="H251" s="18">
        <v>1.0374049999999999</v>
      </c>
      <c r="I251" s="18">
        <v>5.8099999999999999E-2</v>
      </c>
      <c r="J251" s="18">
        <v>0.15179999999999999</v>
      </c>
      <c r="K251" s="18">
        <v>0.19600000000000001</v>
      </c>
    </row>
    <row r="252" spans="1:11" x14ac:dyDescent="0.2">
      <c r="A252" s="17">
        <v>45436</v>
      </c>
      <c r="B252" s="18">
        <v>1.8075000000000001</v>
      </c>
      <c r="C252" s="18">
        <v>0.15060399999999999</v>
      </c>
      <c r="D252" s="18">
        <v>0.21210000000000001</v>
      </c>
      <c r="E252" s="18">
        <v>0.64675000000000005</v>
      </c>
      <c r="F252" s="18">
        <v>4.8300000000000003E-2</v>
      </c>
      <c r="G252" s="18">
        <v>3.6899000000000001E-2</v>
      </c>
      <c r="H252" s="18">
        <v>1.06409</v>
      </c>
      <c r="I252" s="18">
        <v>5.7700000000000001E-2</v>
      </c>
      <c r="J252" s="18">
        <v>0.1522</v>
      </c>
      <c r="K252" s="18">
        <v>0.19400000000000001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M253"/>
  <sheetViews>
    <sheetView showGridLines="0" zoomScaleNormal="100" workbookViewId="0">
      <selection activeCell="A2" sqref="A2"/>
    </sheetView>
  </sheetViews>
  <sheetFormatPr baseColWidth="10" defaultColWidth="9.1640625" defaultRowHeight="14" x14ac:dyDescent="0.15"/>
  <cols>
    <col min="1" max="1" width="16" style="86" customWidth="1"/>
    <col min="2" max="11" width="12" style="14" customWidth="1"/>
    <col min="12" max="12" width="12" style="1" customWidth="1"/>
    <col min="13" max="16384" width="9.1640625" style="1"/>
  </cols>
  <sheetData>
    <row r="1" spans="1:13" ht="15" customHeight="1" x14ac:dyDescent="0.2">
      <c r="A1" s="15" t="s">
        <v>170</v>
      </c>
      <c r="B1" s="84" t="s">
        <v>171</v>
      </c>
      <c r="C1" s="84" t="s">
        <v>172</v>
      </c>
      <c r="D1" s="84" t="s">
        <v>173</v>
      </c>
      <c r="E1" s="84" t="s">
        <v>174</v>
      </c>
      <c r="F1" s="84" t="s">
        <v>175</v>
      </c>
      <c r="G1" s="84" t="s">
        <v>176</v>
      </c>
      <c r="H1" s="84" t="s">
        <v>177</v>
      </c>
      <c r="I1" s="84" t="s">
        <v>178</v>
      </c>
      <c r="J1" s="84" t="s">
        <v>179</v>
      </c>
      <c r="K1" s="84" t="s">
        <v>180</v>
      </c>
      <c r="L1" s="2"/>
      <c r="M1" s="2"/>
    </row>
    <row r="2" spans="1:13" ht="75.75" customHeight="1" x14ac:dyDescent="0.2">
      <c r="A2" s="17">
        <v>45072</v>
      </c>
      <c r="B2" s="85">
        <v>1.2822E-2</v>
      </c>
      <c r="C2" s="85">
        <v>8.8229999999999992E-3</v>
      </c>
      <c r="D2" s="85">
        <v>5.3419000000000001E-2</v>
      </c>
      <c r="E2" s="85">
        <v>3.6539000000000002E-2</v>
      </c>
      <c r="F2" s="85">
        <v>-3.8390000000000001E-2</v>
      </c>
      <c r="G2" s="85">
        <v>0</v>
      </c>
      <c r="H2" s="85">
        <v>2.9475000000000001E-2</v>
      </c>
      <c r="I2" s="85">
        <v>-1.4623000000000001E-2</v>
      </c>
      <c r="J2" s="85">
        <v>-5.8539999999999998E-3</v>
      </c>
      <c r="K2" s="85">
        <v>3.7968000000000002E-2</v>
      </c>
      <c r="L2" s="2"/>
      <c r="M2" s="4" t="s">
        <v>181</v>
      </c>
    </row>
    <row r="3" spans="1:13" ht="15" customHeight="1" x14ac:dyDescent="0.2">
      <c r="A3" s="17">
        <v>45076</v>
      </c>
      <c r="B3" s="85">
        <v>-8.9169999999999996E-3</v>
      </c>
      <c r="C3" s="85">
        <v>-1.3268E-2</v>
      </c>
      <c r="D3" s="85">
        <v>3.8525999999999998E-2</v>
      </c>
      <c r="E3" s="85">
        <v>5.7089999999999997E-3</v>
      </c>
      <c r="F3" s="85">
        <v>1.6064999999999999E-2</v>
      </c>
      <c r="G3" s="85">
        <v>-2.4870000000000001E-3</v>
      </c>
      <c r="H3" s="85">
        <v>-5.8443000000000002E-2</v>
      </c>
      <c r="I3" s="85">
        <v>-6.5958000000000003E-2</v>
      </c>
      <c r="J3" s="85">
        <v>-1.9589999999999998E-3</v>
      </c>
      <c r="K3" s="85">
        <v>3.4225999999999999E-2</v>
      </c>
      <c r="L3" s="2"/>
      <c r="M3" s="2"/>
    </row>
    <row r="4" spans="1:13" ht="15" customHeight="1" x14ac:dyDescent="0.2">
      <c r="A4" s="17">
        <v>45077</v>
      </c>
      <c r="B4" s="85">
        <v>1.7999000000000001E-2</v>
      </c>
      <c r="C4" s="85">
        <v>5.3744E-2</v>
      </c>
      <c r="D4" s="85">
        <v>2.0223000000000001E-2</v>
      </c>
      <c r="E4" s="85">
        <v>1.9791E-2</v>
      </c>
      <c r="F4" s="85">
        <v>1.3270000000000001E-3</v>
      </c>
      <c r="G4" s="85">
        <v>9.9109999999999997E-3</v>
      </c>
      <c r="H4" s="85">
        <v>4.9904999999999998E-2</v>
      </c>
      <c r="I4" s="85">
        <v>6.9225999999999996E-2</v>
      </c>
      <c r="J4" s="85">
        <v>1.2664999999999999E-2</v>
      </c>
      <c r="K4" s="85">
        <v>1.3369000000000001E-2</v>
      </c>
      <c r="L4" s="2"/>
      <c r="M4" s="2"/>
    </row>
    <row r="5" spans="1:13" ht="15" customHeight="1" x14ac:dyDescent="0.2">
      <c r="A5" s="17">
        <v>45078</v>
      </c>
      <c r="B5" s="85">
        <v>1.1983000000000001E-2</v>
      </c>
      <c r="C5" s="85">
        <v>2.7469E-2</v>
      </c>
      <c r="D5" s="85">
        <v>3.9960000000000004E-3</v>
      </c>
      <c r="E5" s="85">
        <v>-6.62E-3</v>
      </c>
      <c r="F5" s="85">
        <v>2.6489999999999999E-3</v>
      </c>
      <c r="G5" s="85">
        <v>2.4889999999999999E-3</v>
      </c>
      <c r="H5" s="85">
        <v>-1.1200999999999999E-2</v>
      </c>
      <c r="I5" s="85">
        <v>7.084E-2</v>
      </c>
      <c r="J5" s="85">
        <v>7.7149999999999996E-3</v>
      </c>
      <c r="K5" s="85">
        <v>2.8798000000000001E-2</v>
      </c>
      <c r="L5" s="2"/>
      <c r="M5" s="2"/>
    </row>
    <row r="6" spans="1:13" ht="15" customHeight="1" x14ac:dyDescent="0.2">
      <c r="A6" s="17">
        <v>45079</v>
      </c>
      <c r="B6" s="85">
        <v>8.4150000000000006E-3</v>
      </c>
      <c r="C6" s="85">
        <v>9.7999999999999997E-3</v>
      </c>
      <c r="D6" s="85">
        <v>-8.7465000000000001E-2</v>
      </c>
      <c r="E6" s="85">
        <v>7.6369999999999997E-3</v>
      </c>
      <c r="F6" s="85">
        <v>1.4445E-2</v>
      </c>
      <c r="G6" s="85">
        <v>-4.9579999999999997E-3</v>
      </c>
      <c r="H6" s="85">
        <v>-3.973E-3</v>
      </c>
      <c r="I6" s="85">
        <v>-4.0315999999999998E-2</v>
      </c>
      <c r="J6" s="85">
        <v>9.5600000000000008E-3</v>
      </c>
      <c r="K6" s="85">
        <v>0.15838099999999999</v>
      </c>
      <c r="L6" s="2"/>
      <c r="M6" s="2"/>
    </row>
    <row r="7" spans="1:13" ht="15" customHeight="1" x14ac:dyDescent="0.2">
      <c r="A7" s="17">
        <v>45082</v>
      </c>
      <c r="B7" s="85">
        <v>1.0401000000000001E-2</v>
      </c>
      <c r="C7" s="85">
        <v>3.7496000000000002E-2</v>
      </c>
      <c r="D7" s="85">
        <v>9.2437000000000005E-2</v>
      </c>
      <c r="E7" s="85">
        <v>-1.0588E-2</v>
      </c>
      <c r="F7" s="85">
        <v>2.7011E-2</v>
      </c>
      <c r="G7" s="85">
        <v>-1.2435999999999999E-2</v>
      </c>
      <c r="H7" s="85">
        <v>-1.3287999999999999E-2</v>
      </c>
      <c r="I7" s="85">
        <v>-1.5839999999999999E-3</v>
      </c>
      <c r="J7" s="85">
        <v>0</v>
      </c>
      <c r="K7" s="85">
        <v>-1.3304E-2</v>
      </c>
      <c r="L7" s="2"/>
      <c r="M7" s="2"/>
    </row>
    <row r="8" spans="1:13" ht="15" customHeight="1" x14ac:dyDescent="0.2">
      <c r="A8" s="17">
        <v>45083</v>
      </c>
      <c r="B8" s="85">
        <v>-4.3422000000000002E-2</v>
      </c>
      <c r="C8" s="85">
        <v>2.0156E-2</v>
      </c>
      <c r="D8" s="85">
        <v>-5.4011999999999998E-2</v>
      </c>
      <c r="E8" s="85">
        <v>1.201E-3</v>
      </c>
      <c r="F8" s="85">
        <v>-1.5346E-2</v>
      </c>
      <c r="G8" s="85">
        <v>7.4799999999999997E-3</v>
      </c>
      <c r="H8" s="85">
        <v>-3.0873000000000001E-2</v>
      </c>
      <c r="I8" s="85">
        <v>4.7429999999999998E-3</v>
      </c>
      <c r="J8" s="85">
        <v>-3.092E-2</v>
      </c>
      <c r="K8" s="85">
        <v>-3.1748999999999999E-2</v>
      </c>
      <c r="L8" s="2"/>
      <c r="M8" s="2"/>
    </row>
    <row r="9" spans="1:13" ht="15" customHeight="1" x14ac:dyDescent="0.2">
      <c r="A9" s="17">
        <v>45084</v>
      </c>
      <c r="B9" s="85">
        <v>2.4605999999999999E-2</v>
      </c>
      <c r="C9" s="85">
        <v>-2.1722000000000002E-2</v>
      </c>
      <c r="D9" s="85">
        <v>2.0920000000000001E-3</v>
      </c>
      <c r="E9" s="85">
        <v>2.3730000000000001E-2</v>
      </c>
      <c r="F9" s="85">
        <v>3.859E-3</v>
      </c>
      <c r="G9" s="85">
        <v>-7.4799999999999997E-3</v>
      </c>
      <c r="H9" s="85">
        <v>2.7244000000000001E-2</v>
      </c>
      <c r="I9" s="85">
        <v>-6.3290000000000004E-3</v>
      </c>
      <c r="J9" s="85">
        <v>-1.4829999999999999E-2</v>
      </c>
      <c r="K9" s="85">
        <v>4.3950999999999997E-2</v>
      </c>
      <c r="L9" s="2"/>
      <c r="M9" s="2"/>
    </row>
    <row r="10" spans="1:13" ht="15" customHeight="1" x14ac:dyDescent="0.2">
      <c r="A10" s="17">
        <v>45085</v>
      </c>
      <c r="B10" s="85">
        <v>-6.6210000000000001E-3</v>
      </c>
      <c r="C10" s="85">
        <v>2.6322000000000002E-2</v>
      </c>
      <c r="D10" s="85">
        <v>-2.0053000000000001E-2</v>
      </c>
      <c r="E10" s="85">
        <v>2.5683000000000001E-2</v>
      </c>
      <c r="F10" s="85">
        <v>-7.7320000000000002E-3</v>
      </c>
      <c r="G10" s="85">
        <v>2.5000000000000001E-3</v>
      </c>
      <c r="H10" s="85">
        <v>6.7289999999999997E-3</v>
      </c>
      <c r="I10" s="85">
        <v>-9.5689999999999994E-3</v>
      </c>
      <c r="J10" s="85">
        <v>4.9680000000000002E-3</v>
      </c>
      <c r="K10" s="85">
        <v>5.5099999999999995E-4</v>
      </c>
      <c r="L10" s="2"/>
      <c r="M10" s="2"/>
    </row>
    <row r="11" spans="1:13" ht="15" customHeight="1" x14ac:dyDescent="0.2">
      <c r="A11" s="17">
        <v>45086</v>
      </c>
      <c r="B11" s="85">
        <v>2.5121000000000001E-2</v>
      </c>
      <c r="C11" s="85">
        <v>0.117358</v>
      </c>
      <c r="D11" s="85">
        <v>-5.3449999999999999E-3</v>
      </c>
      <c r="E11" s="85">
        <v>9.3600000000000003E-3</v>
      </c>
      <c r="F11" s="85">
        <v>8.3123000000000002E-2</v>
      </c>
      <c r="G11" s="85">
        <v>1.9800999999999999E-2</v>
      </c>
      <c r="H11" s="85">
        <v>1.8200000000000001E-2</v>
      </c>
      <c r="I11" s="85">
        <v>-8.8761000000000007E-2</v>
      </c>
      <c r="J11" s="85">
        <v>1.3780000000000001E-2</v>
      </c>
      <c r="K11" s="85">
        <v>-8.5769999999999996E-3</v>
      </c>
      <c r="L11" s="2"/>
      <c r="M11" s="2"/>
    </row>
    <row r="12" spans="1:13" ht="15" customHeight="1" x14ac:dyDescent="0.2">
      <c r="A12" s="17">
        <v>45089</v>
      </c>
      <c r="B12" s="85">
        <v>7.1100000000000004E-4</v>
      </c>
      <c r="C12" s="85">
        <v>4.1253999999999999E-2</v>
      </c>
      <c r="D12" s="85">
        <v>3.6826999999999999E-2</v>
      </c>
      <c r="E12" s="85">
        <v>2.7359999999999999E-2</v>
      </c>
      <c r="F12" s="85">
        <v>5.6695000000000002E-2</v>
      </c>
      <c r="G12" s="85">
        <v>0</v>
      </c>
      <c r="H12" s="85">
        <v>3.8263999999999999E-2</v>
      </c>
      <c r="I12" s="85">
        <v>2.5930999999999999E-2</v>
      </c>
      <c r="J12" s="85">
        <v>8.7589999999999994E-3</v>
      </c>
      <c r="K12" s="85">
        <v>6.9492999999999999E-2</v>
      </c>
      <c r="L12" s="2"/>
      <c r="M12" s="2"/>
    </row>
    <row r="13" spans="1:13" ht="15" customHeight="1" x14ac:dyDescent="0.2">
      <c r="A13" s="17">
        <v>45090</v>
      </c>
      <c r="B13" s="85">
        <v>-1.897E-3</v>
      </c>
      <c r="C13" s="85">
        <v>1.6806999999999999E-2</v>
      </c>
      <c r="D13" s="85">
        <v>1.0330000000000001E-3</v>
      </c>
      <c r="E13" s="85">
        <v>1.1705E-2</v>
      </c>
      <c r="F13" s="85">
        <v>1.7838E-2</v>
      </c>
      <c r="G13" s="85">
        <v>1.7013E-2</v>
      </c>
      <c r="H13" s="85">
        <v>4.7019999999999999E-2</v>
      </c>
      <c r="I13" s="85">
        <v>4.9926999999999999E-2</v>
      </c>
      <c r="J13" s="85">
        <v>-6.8060000000000004E-3</v>
      </c>
      <c r="K13" s="85">
        <v>6.1813E-2</v>
      </c>
      <c r="L13" s="2"/>
      <c r="M13" s="2"/>
    </row>
    <row r="14" spans="1:13" ht="15" customHeight="1" x14ac:dyDescent="0.2">
      <c r="A14" s="17">
        <v>45091</v>
      </c>
      <c r="B14" s="85">
        <v>5.4429999999999999E-3</v>
      </c>
      <c r="C14" s="85">
        <v>3.2788999999999999E-2</v>
      </c>
      <c r="D14" s="85">
        <v>-3.4648999999999999E-2</v>
      </c>
      <c r="E14" s="85">
        <v>9.953E-3</v>
      </c>
      <c r="F14" s="85">
        <v>7.8597E-2</v>
      </c>
      <c r="G14" s="85">
        <v>2.145E-2</v>
      </c>
      <c r="H14" s="85">
        <v>-8.0319999999999992E-3</v>
      </c>
      <c r="I14" s="85">
        <v>9.6930000000000002E-3</v>
      </c>
      <c r="J14" s="85">
        <v>3.9220999999999999E-2</v>
      </c>
      <c r="K14" s="85">
        <v>1.5233999999999999E-2</v>
      </c>
      <c r="L14" s="2"/>
      <c r="M14" s="2"/>
    </row>
    <row r="15" spans="1:13" ht="15" customHeight="1" x14ac:dyDescent="0.2">
      <c r="A15" s="17">
        <v>45092</v>
      </c>
      <c r="B15" s="85">
        <v>-1.2827E-2</v>
      </c>
      <c r="C15" s="85">
        <v>-2.0049000000000001E-2</v>
      </c>
      <c r="D15" s="85">
        <v>6.4138000000000001E-2</v>
      </c>
      <c r="E15" s="85">
        <v>-3.0348E-2</v>
      </c>
      <c r="F15" s="85">
        <v>-4.0652000000000001E-2</v>
      </c>
      <c r="G15" s="85">
        <v>9.3760000000000007E-3</v>
      </c>
      <c r="H15" s="85">
        <v>9.1500000000000001E-4</v>
      </c>
      <c r="I15" s="85">
        <v>1.606E-3</v>
      </c>
      <c r="J15" s="85">
        <v>1.874E-3</v>
      </c>
      <c r="K15" s="85">
        <v>2.1132999999999999E-2</v>
      </c>
      <c r="L15" s="2"/>
      <c r="M15" s="2"/>
    </row>
    <row r="16" spans="1:13" ht="15" customHeight="1" x14ac:dyDescent="0.2">
      <c r="A16" s="17">
        <v>45093</v>
      </c>
      <c r="B16" s="85">
        <v>2.3080000000000002E-3</v>
      </c>
      <c r="C16" s="85">
        <v>6.3070000000000001E-3</v>
      </c>
      <c r="D16" s="85">
        <v>0.160714</v>
      </c>
      <c r="E16" s="85">
        <v>6.3229999999999996E-3</v>
      </c>
      <c r="F16" s="85">
        <v>-5.3330000000000001E-3</v>
      </c>
      <c r="G16" s="85">
        <v>-1.8866999999999998E-2</v>
      </c>
      <c r="H16" s="85">
        <v>2.5804000000000001E-2</v>
      </c>
      <c r="I16" s="85">
        <v>1.604E-3</v>
      </c>
      <c r="J16" s="85">
        <v>-9.4070000000000004E-3</v>
      </c>
      <c r="K16" s="85">
        <v>-6.1785E-2</v>
      </c>
      <c r="L16" s="2"/>
      <c r="M16" s="2"/>
    </row>
    <row r="17" spans="1:11" ht="15" customHeight="1" x14ac:dyDescent="0.2">
      <c r="A17" s="17">
        <v>45097</v>
      </c>
      <c r="B17" s="85">
        <v>-7.5820000000000002E-3</v>
      </c>
      <c r="C17" s="85">
        <v>-6.2600000000000004E-4</v>
      </c>
      <c r="D17" s="85">
        <v>4.0959000000000002E-2</v>
      </c>
      <c r="E17" s="85">
        <v>-2.3862000000000001E-2</v>
      </c>
      <c r="F17" s="85">
        <v>-3.0404E-2</v>
      </c>
      <c r="G17" s="85">
        <v>-1.9230000000000001E-2</v>
      </c>
      <c r="H17" s="85">
        <v>-1.7569999999999999E-2</v>
      </c>
      <c r="I17" s="85">
        <v>7.9810000000000002E-3</v>
      </c>
      <c r="J17" s="85">
        <v>-3.3640999999999997E-2</v>
      </c>
      <c r="K17" s="85">
        <v>-4.2113999999999999E-2</v>
      </c>
    </row>
    <row r="18" spans="1:11" ht="15" customHeight="1" x14ac:dyDescent="0.2">
      <c r="A18" s="17">
        <v>45098</v>
      </c>
      <c r="B18" s="85">
        <v>4.1735000000000001E-2</v>
      </c>
      <c r="C18" s="85">
        <v>-8.2150000000000001E-3</v>
      </c>
      <c r="D18" s="85">
        <v>-3.1616999999999999E-2</v>
      </c>
      <c r="E18" s="85">
        <v>-4.6519999999999999E-3</v>
      </c>
      <c r="F18" s="85">
        <v>-1.6676E-2</v>
      </c>
      <c r="G18" s="85">
        <v>-1.2193000000000001E-2</v>
      </c>
      <c r="H18" s="85">
        <v>-4.6500000000000003E-4</v>
      </c>
      <c r="I18" s="85">
        <v>-1.9262000000000001E-2</v>
      </c>
      <c r="J18" s="85">
        <v>3.9295999999999998E-2</v>
      </c>
      <c r="K18" s="85">
        <v>-1.3384E-2</v>
      </c>
    </row>
    <row r="19" spans="1:11" ht="15" customHeight="1" x14ac:dyDescent="0.2">
      <c r="A19" s="17">
        <v>45099</v>
      </c>
      <c r="B19" s="85">
        <v>-6.3200000000000001E-3</v>
      </c>
      <c r="C19" s="85">
        <v>2.5339999999999998E-3</v>
      </c>
      <c r="D19" s="85">
        <v>7.1749999999999994E-2</v>
      </c>
      <c r="E19" s="85">
        <v>3.6389999999999999E-3</v>
      </c>
      <c r="F19" s="85">
        <v>-5.6499000000000001E-2</v>
      </c>
      <c r="G19" s="85">
        <v>-2.2383E-2</v>
      </c>
      <c r="H19" s="85">
        <v>-1.9148999999999999E-2</v>
      </c>
      <c r="I19" s="85">
        <v>-2.9607000000000001E-2</v>
      </c>
      <c r="J19" s="85">
        <v>1.6775999999999999E-2</v>
      </c>
      <c r="K19" s="85">
        <v>-1.009E-2</v>
      </c>
    </row>
    <row r="20" spans="1:11" ht="15" customHeight="1" x14ac:dyDescent="0.2">
      <c r="A20" s="17">
        <v>45100</v>
      </c>
      <c r="B20" s="85">
        <v>-1.5585E-2</v>
      </c>
      <c r="C20" s="85">
        <v>-7.8990000000000005E-2</v>
      </c>
      <c r="D20" s="85">
        <v>-7.5136999999999995E-2</v>
      </c>
      <c r="E20" s="85">
        <v>-1.924E-2</v>
      </c>
      <c r="F20" s="85">
        <v>-3.565E-3</v>
      </c>
      <c r="G20" s="85">
        <v>1.0012999999999999E-2</v>
      </c>
      <c r="H20" s="85">
        <v>-3.8075999999999999E-2</v>
      </c>
      <c r="I20" s="85">
        <v>4.7279000000000002E-2</v>
      </c>
      <c r="J20" s="85">
        <v>3.5409999999999997E-2</v>
      </c>
      <c r="K20" s="85">
        <v>-1.9946999999999999E-2</v>
      </c>
    </row>
    <row r="21" spans="1:11" ht="15" customHeight="1" x14ac:dyDescent="0.2">
      <c r="A21" s="17">
        <v>45103</v>
      </c>
      <c r="B21" s="85">
        <v>1.4425E-2</v>
      </c>
      <c r="C21" s="85">
        <v>8.4670999999999996E-2</v>
      </c>
      <c r="D21" s="85">
        <v>0.12650900000000001</v>
      </c>
      <c r="E21" s="85">
        <v>2.7369999999999998E-3</v>
      </c>
      <c r="F21" s="85">
        <v>0.106075</v>
      </c>
      <c r="G21" s="85">
        <v>2.4563000000000001E-2</v>
      </c>
      <c r="H21" s="85">
        <v>3.0155999999999999E-2</v>
      </c>
      <c r="I21" s="85">
        <v>-1.2821000000000001E-2</v>
      </c>
      <c r="J21" s="85">
        <v>2.3800000000000002E-2</v>
      </c>
      <c r="K21" s="85">
        <v>0.14308299999999999</v>
      </c>
    </row>
    <row r="22" spans="1:11" ht="15" customHeight="1" x14ac:dyDescent="0.2">
      <c r="A22" s="17">
        <v>45104</v>
      </c>
      <c r="B22" s="85">
        <v>-1.0839999999999999E-3</v>
      </c>
      <c r="C22" s="85">
        <v>8.4434999999999996E-2</v>
      </c>
      <c r="D22" s="85">
        <v>-1.6579E-2</v>
      </c>
      <c r="E22" s="85">
        <v>3.0134999999999999E-2</v>
      </c>
      <c r="F22" s="85">
        <v>1.9088999999999998E-2</v>
      </c>
      <c r="G22" s="85">
        <v>4.862E-3</v>
      </c>
      <c r="H22" s="85">
        <v>-1.8291000000000002E-2</v>
      </c>
      <c r="I22" s="85">
        <v>-2.1191000000000002E-2</v>
      </c>
      <c r="J22" s="85">
        <v>1.47E-2</v>
      </c>
      <c r="K22" s="85">
        <v>4.0237000000000002E-2</v>
      </c>
    </row>
    <row r="23" spans="1:11" ht="15" customHeight="1" x14ac:dyDescent="0.2">
      <c r="A23" s="17">
        <v>45105</v>
      </c>
      <c r="B23" s="85">
        <v>-8.8739999999999999E-3</v>
      </c>
      <c r="C23" s="85">
        <v>-7.5469999999999999E-3</v>
      </c>
      <c r="D23" s="85">
        <v>4.8934999999999999E-2</v>
      </c>
      <c r="E23" s="85">
        <v>-3.7290000000000001E-3</v>
      </c>
      <c r="F23" s="85">
        <v>-1.375E-2</v>
      </c>
      <c r="G23" s="85">
        <v>2.4090000000000001E-3</v>
      </c>
      <c r="H23" s="85">
        <v>-7.2009999999999999E-3</v>
      </c>
      <c r="I23" s="85">
        <v>5.6059999999999999E-2</v>
      </c>
      <c r="J23" s="85">
        <v>2.5720000000000001E-3</v>
      </c>
      <c r="K23" s="85">
        <v>-1.0023000000000001E-2</v>
      </c>
    </row>
    <row r="24" spans="1:11" ht="15" customHeight="1" x14ac:dyDescent="0.2">
      <c r="A24" s="17">
        <v>45106</v>
      </c>
      <c r="B24" s="85">
        <v>1.9050999999999998E-2</v>
      </c>
      <c r="C24" s="85">
        <v>9.2874999999999999E-2</v>
      </c>
      <c r="D24" s="85">
        <v>2.8900000000000002E-3</v>
      </c>
      <c r="E24" s="85">
        <v>2.8204E-2</v>
      </c>
      <c r="F24" s="85">
        <v>3.1448999999999998E-2</v>
      </c>
      <c r="G24" s="85">
        <v>2.4030000000000002E-3</v>
      </c>
      <c r="H24" s="85">
        <v>3.5615000000000001E-2</v>
      </c>
      <c r="I24" s="85">
        <v>8.7919999999999998E-2</v>
      </c>
      <c r="J24" s="85">
        <v>1.3606E-2</v>
      </c>
      <c r="K24" s="85">
        <v>-5.9699999999999996E-3</v>
      </c>
    </row>
    <row r="25" spans="1:11" ht="15" customHeight="1" x14ac:dyDescent="0.2">
      <c r="A25" s="17">
        <v>45107</v>
      </c>
      <c r="B25" s="85">
        <v>-1.075E-3</v>
      </c>
      <c r="C25" s="85">
        <v>6.8799999999999998E-3</v>
      </c>
      <c r="D25" s="85">
        <v>0.100152</v>
      </c>
      <c r="E25" s="85">
        <v>2.1540000000000001E-3</v>
      </c>
      <c r="F25" s="85">
        <v>3.4486000000000003E-2</v>
      </c>
      <c r="G25" s="85">
        <v>1.9047000000000001E-2</v>
      </c>
      <c r="H25" s="85">
        <v>2.6199999999999999E-3</v>
      </c>
      <c r="I25" s="85">
        <v>-5.7219999999999997E-3</v>
      </c>
      <c r="J25" s="85">
        <v>1.5088000000000001E-2</v>
      </c>
      <c r="K25" s="85">
        <v>9.2100000000000005E-4</v>
      </c>
    </row>
    <row r="26" spans="1:11" ht="15" customHeight="1" x14ac:dyDescent="0.2">
      <c r="A26" s="17">
        <v>45110</v>
      </c>
      <c r="B26" s="85">
        <v>1.2279999999999999E-3</v>
      </c>
      <c r="C26" s="85">
        <v>1.3096999999999999E-2</v>
      </c>
      <c r="D26" s="85">
        <v>1.5544000000000001E-2</v>
      </c>
      <c r="E26" s="85">
        <v>1.0052999999999999E-2</v>
      </c>
      <c r="F26" s="85">
        <v>1.8766000000000001E-2</v>
      </c>
      <c r="G26" s="85">
        <v>-1.4257000000000001E-2</v>
      </c>
      <c r="H26" s="85">
        <v>-2.2650000000000001E-3</v>
      </c>
      <c r="I26" s="85">
        <v>5.3085E-2</v>
      </c>
      <c r="J26" s="85">
        <v>8.2850000000000007E-3</v>
      </c>
      <c r="K26" s="85">
        <v>-4.4221999999999997E-2</v>
      </c>
    </row>
    <row r="27" spans="1:11" ht="15" customHeight="1" x14ac:dyDescent="0.2">
      <c r="A27" s="17">
        <v>45112</v>
      </c>
      <c r="B27" s="85">
        <v>-1.5613999999999999E-2</v>
      </c>
      <c r="C27" s="85">
        <v>-1.8388000000000002E-2</v>
      </c>
      <c r="D27" s="85">
        <v>-1.5544000000000001E-2</v>
      </c>
      <c r="E27" s="85">
        <v>-1.5959999999999998E-2</v>
      </c>
      <c r="F27" s="85">
        <v>-6.6758999999999999E-2</v>
      </c>
      <c r="G27" s="85">
        <v>-9.6019999999999994E-3</v>
      </c>
      <c r="H27" s="85">
        <v>-5.071E-3</v>
      </c>
      <c r="I27" s="85">
        <v>-6.8259999999999996E-3</v>
      </c>
      <c r="J27" s="85">
        <v>-1.7479000000000001E-2</v>
      </c>
      <c r="K27" s="85">
        <v>-2.5083999999999999E-2</v>
      </c>
    </row>
    <row r="28" spans="1:11" ht="15" customHeight="1" x14ac:dyDescent="0.2">
      <c r="A28" s="17">
        <v>45113</v>
      </c>
      <c r="B28" s="85">
        <v>1.1002E-2</v>
      </c>
      <c r="C28" s="85">
        <v>9.4999999999999998E-3</v>
      </c>
      <c r="D28" s="85">
        <v>2.2589000000000001E-2</v>
      </c>
      <c r="E28" s="85">
        <v>-1.688E-3</v>
      </c>
      <c r="F28" s="85">
        <v>4.3997000000000001E-2</v>
      </c>
      <c r="G28" s="85">
        <v>2.4090000000000001E-3</v>
      </c>
      <c r="H28" s="85">
        <v>9.4560000000000009E-3</v>
      </c>
      <c r="I28" s="85">
        <v>5.7235000000000001E-2</v>
      </c>
      <c r="J28" s="85">
        <v>-1.95E-2</v>
      </c>
      <c r="K28" s="85">
        <v>-2.222E-3</v>
      </c>
    </row>
    <row r="29" spans="1:11" ht="15" customHeight="1" x14ac:dyDescent="0.2">
      <c r="A29" s="17">
        <v>45114</v>
      </c>
      <c r="B29" s="85">
        <v>-2.0631E-2</v>
      </c>
      <c r="C29" s="85">
        <v>1.3563E-2</v>
      </c>
      <c r="D29" s="85">
        <v>7.6747999999999997E-2</v>
      </c>
      <c r="E29" s="85">
        <v>8.2059999999999998E-3</v>
      </c>
      <c r="F29" s="85">
        <v>7.6107999999999995E-2</v>
      </c>
      <c r="G29" s="85">
        <v>4.8009999999999997E-3</v>
      </c>
      <c r="H29" s="85">
        <v>-7.6270000000000001E-3</v>
      </c>
      <c r="I29" s="85">
        <v>3.3082E-2</v>
      </c>
      <c r="J29" s="85">
        <v>8.5249999999999996E-3</v>
      </c>
      <c r="K29" s="85">
        <v>-1.2435E-2</v>
      </c>
    </row>
    <row r="30" spans="1:11" ht="15" customHeight="1" x14ac:dyDescent="0.2">
      <c r="A30" s="17">
        <v>45117</v>
      </c>
      <c r="B30" s="85">
        <v>1.2895E-2</v>
      </c>
      <c r="C30" s="85">
        <v>-2.0944999999999998E-2</v>
      </c>
      <c r="D30" s="85">
        <v>2.7399E-2</v>
      </c>
      <c r="E30" s="85">
        <v>-3.4020000000000001E-3</v>
      </c>
      <c r="F30" s="85">
        <v>2.7789999999999998E-3</v>
      </c>
      <c r="G30" s="85">
        <v>7.1580000000000003E-3</v>
      </c>
      <c r="H30" s="85">
        <v>5.3200000000000001E-3</v>
      </c>
      <c r="I30" s="85">
        <v>2.8379000000000001E-2</v>
      </c>
      <c r="J30" s="85">
        <v>7.8342999999999996E-2</v>
      </c>
      <c r="K30" s="85">
        <v>9.2211000000000001E-2</v>
      </c>
    </row>
    <row r="31" spans="1:11" ht="15" customHeight="1" x14ac:dyDescent="0.2">
      <c r="A31" s="17">
        <v>45118</v>
      </c>
      <c r="B31" s="85">
        <v>1.5564E-2</v>
      </c>
      <c r="C31" s="85">
        <v>-3.6637999999999997E-2</v>
      </c>
      <c r="D31" s="85">
        <v>-3.0950999999999999E-2</v>
      </c>
      <c r="E31" s="85">
        <v>8.685E-3</v>
      </c>
      <c r="F31" s="85">
        <v>3.1864000000000003E-2</v>
      </c>
      <c r="G31" s="85">
        <v>1.8866999999999998E-2</v>
      </c>
      <c r="H31" s="85">
        <v>3.4693000000000002E-2</v>
      </c>
      <c r="I31" s="85">
        <v>-2.4632000000000001E-2</v>
      </c>
      <c r="J31" s="85">
        <v>4.8266999999999997E-2</v>
      </c>
      <c r="K31" s="85">
        <v>-2.9710000000000001E-3</v>
      </c>
    </row>
    <row r="32" spans="1:11" ht="15" customHeight="1" x14ac:dyDescent="0.2">
      <c r="A32" s="17">
        <v>45119</v>
      </c>
      <c r="B32" s="85">
        <v>2.6407E-2</v>
      </c>
      <c r="C32" s="85">
        <v>-2.6138000000000002E-2</v>
      </c>
      <c r="D32" s="85">
        <v>0.135161</v>
      </c>
      <c r="E32" s="85">
        <v>1.4154999999999999E-2</v>
      </c>
      <c r="F32" s="85">
        <v>-3.6499999999999998E-2</v>
      </c>
      <c r="G32" s="85">
        <v>1.6225E-2</v>
      </c>
      <c r="H32" s="85">
        <v>4.6182000000000001E-2</v>
      </c>
      <c r="I32" s="85">
        <v>3.7339999999999999E-3</v>
      </c>
      <c r="J32" s="85">
        <v>1.0416999999999999E-2</v>
      </c>
      <c r="K32" s="85">
        <v>6.9617999999999999E-2</v>
      </c>
    </row>
    <row r="33" spans="1:11" ht="15" customHeight="1" x14ac:dyDescent="0.2">
      <c r="A33" s="17">
        <v>45120</v>
      </c>
      <c r="B33" s="85">
        <v>2.8249999999999998E-3</v>
      </c>
      <c r="C33" s="85">
        <v>-2.9732999999999999E-2</v>
      </c>
      <c r="D33" s="85">
        <v>-6.5851999999999994E-2</v>
      </c>
      <c r="E33" s="85">
        <v>-1.8984999999999998E-2</v>
      </c>
      <c r="F33" s="85">
        <v>-2.0657999999999999E-2</v>
      </c>
      <c r="G33" s="85">
        <v>-8.8898000000000005E-2</v>
      </c>
      <c r="H33" s="85">
        <v>-1.111E-2</v>
      </c>
      <c r="I33" s="85">
        <v>-3.0266999999999999E-2</v>
      </c>
      <c r="J33" s="85">
        <v>-2.7008000000000001E-2</v>
      </c>
      <c r="K33" s="85">
        <v>-5.4850000000000003E-2</v>
      </c>
    </row>
    <row r="34" spans="1:11" ht="15" customHeight="1" x14ac:dyDescent="0.2">
      <c r="A34" s="17">
        <v>45121</v>
      </c>
      <c r="B34" s="85">
        <v>-8.3510000000000008E-3</v>
      </c>
      <c r="C34" s="85">
        <v>2.7477999999999999E-2</v>
      </c>
      <c r="D34" s="85">
        <v>-4.5860999999999999E-2</v>
      </c>
      <c r="E34" s="85">
        <v>1.8252000000000001E-2</v>
      </c>
      <c r="F34" s="85">
        <v>1.8959999999999999E-3</v>
      </c>
      <c r="G34" s="85">
        <v>-3.3189000000000003E-2</v>
      </c>
      <c r="H34" s="85">
        <v>2.1582E-2</v>
      </c>
      <c r="I34" s="85">
        <v>1.5247999999999999E-2</v>
      </c>
      <c r="J34" s="85">
        <v>2.4042999999999998E-2</v>
      </c>
      <c r="K34" s="85">
        <v>3.8491999999999998E-2</v>
      </c>
    </row>
    <row r="35" spans="1:11" ht="15" customHeight="1" x14ac:dyDescent="0.2">
      <c r="A35" s="17">
        <v>45124</v>
      </c>
      <c r="B35" s="85">
        <v>-5.4809999999999998E-3</v>
      </c>
      <c r="C35" s="85">
        <v>3.0034999999999999E-2</v>
      </c>
      <c r="D35" s="85">
        <v>-2.6418000000000001E-2</v>
      </c>
      <c r="E35" s="85">
        <v>5.3534999999999999E-2</v>
      </c>
      <c r="F35" s="85">
        <v>-1.3346E-2</v>
      </c>
      <c r="G35" s="85">
        <v>7.7510000000000001E-3</v>
      </c>
      <c r="H35" s="85">
        <v>2.1989999999999999E-2</v>
      </c>
      <c r="I35" s="85">
        <v>6.5877000000000005E-2</v>
      </c>
      <c r="J35" s="85">
        <v>-7.4520000000000003E-3</v>
      </c>
      <c r="K35" s="85">
        <v>2.2530999999999999E-2</v>
      </c>
    </row>
    <row r="36" spans="1:11" ht="15" customHeight="1" x14ac:dyDescent="0.2">
      <c r="A36" s="17">
        <v>45125</v>
      </c>
      <c r="B36" s="85">
        <v>1.8867999999999999E-2</v>
      </c>
      <c r="C36" s="85">
        <v>-5.4920000000000004E-3</v>
      </c>
      <c r="D36" s="85">
        <v>4.5357000000000001E-2</v>
      </c>
      <c r="E36" s="85">
        <v>5.8589999999999996E-3</v>
      </c>
      <c r="F36" s="85">
        <v>2.0892999999999998E-2</v>
      </c>
      <c r="G36" s="85">
        <v>1.5351E-2</v>
      </c>
      <c r="H36" s="85">
        <v>-8.8190000000000004E-3</v>
      </c>
      <c r="I36" s="85">
        <v>-2.6317E-2</v>
      </c>
      <c r="J36" s="85">
        <v>-1.9637999999999999E-2</v>
      </c>
      <c r="K36" s="85">
        <v>2.8653999999999999E-2</v>
      </c>
    </row>
    <row r="37" spans="1:11" ht="15" customHeight="1" x14ac:dyDescent="0.2">
      <c r="A37" s="17">
        <v>45126</v>
      </c>
      <c r="B37" s="85">
        <v>-4.0710999999999997E-2</v>
      </c>
      <c r="C37" s="85">
        <v>-2.7935000000000001E-2</v>
      </c>
      <c r="D37" s="85">
        <v>-3.0594E-2</v>
      </c>
      <c r="E37" s="85">
        <v>-8.7859000000000007E-2</v>
      </c>
      <c r="F37" s="85">
        <v>-3.0537000000000002E-2</v>
      </c>
      <c r="G37" s="85">
        <v>-2.5379999999999999E-3</v>
      </c>
      <c r="H37" s="85">
        <v>-3.3633000000000003E-2</v>
      </c>
      <c r="I37" s="85">
        <v>-7.2989999999999999E-3</v>
      </c>
      <c r="J37" s="85">
        <v>-1.3825E-2</v>
      </c>
      <c r="K37" s="85">
        <v>-8.7424000000000002E-2</v>
      </c>
    </row>
    <row r="38" spans="1:11" ht="15" customHeight="1" x14ac:dyDescent="0.2">
      <c r="A38" s="17">
        <v>45127</v>
      </c>
      <c r="B38" s="85">
        <v>3.0800000000000001E-4</v>
      </c>
      <c r="C38" s="85">
        <v>1.2945E-2</v>
      </c>
      <c r="D38" s="85">
        <v>-1.0607E-2</v>
      </c>
      <c r="E38" s="85">
        <v>-2.2939999999999999E-2</v>
      </c>
      <c r="F38" s="85">
        <v>2.4882000000000001E-2</v>
      </c>
      <c r="G38" s="85">
        <v>2.5379999999999999E-3</v>
      </c>
      <c r="H38" s="85">
        <v>-2.6963000000000001E-2</v>
      </c>
      <c r="I38" s="85">
        <v>-1.1050000000000001E-2</v>
      </c>
      <c r="J38" s="85">
        <v>-1.4803999999999999E-2</v>
      </c>
      <c r="K38" s="85">
        <v>1.124E-3</v>
      </c>
    </row>
    <row r="39" spans="1:11" ht="15" customHeight="1" x14ac:dyDescent="0.2">
      <c r="A39" s="17">
        <v>45128</v>
      </c>
      <c r="B39" s="85">
        <v>-9.2739999999999993E-3</v>
      </c>
      <c r="C39" s="85">
        <v>-1.676E-3</v>
      </c>
      <c r="D39" s="85">
        <v>-2.7629000000000001E-2</v>
      </c>
      <c r="E39" s="85">
        <v>2.0330000000000001E-3</v>
      </c>
      <c r="F39" s="85">
        <v>0.103184</v>
      </c>
      <c r="G39" s="85">
        <v>1.3734E-2</v>
      </c>
      <c r="H39" s="85">
        <v>6.816E-3</v>
      </c>
      <c r="I39" s="85">
        <v>5.9898E-2</v>
      </c>
      <c r="J39" s="85">
        <v>-4.7210000000000004E-3</v>
      </c>
      <c r="K39" s="85">
        <v>-2.1354999999999999E-2</v>
      </c>
    </row>
    <row r="40" spans="1:11" ht="15" customHeight="1" x14ac:dyDescent="0.2">
      <c r="A40" s="17">
        <v>45131</v>
      </c>
      <c r="B40" s="85">
        <v>2.5590000000000001E-3</v>
      </c>
      <c r="C40" s="85">
        <v>-2.2665999999999999E-2</v>
      </c>
      <c r="D40" s="85">
        <v>-1.4723999999999999E-2</v>
      </c>
      <c r="E40" s="85">
        <v>-1.565E-3</v>
      </c>
      <c r="F40" s="85">
        <v>1.5228999999999999E-2</v>
      </c>
      <c r="G40" s="85">
        <v>2.5240000000000002E-3</v>
      </c>
      <c r="H40" s="85">
        <v>2.3633999999999999E-2</v>
      </c>
      <c r="I40" s="85">
        <v>-7.0010000000000003E-3</v>
      </c>
      <c r="J40" s="85">
        <v>-1.3498E-2</v>
      </c>
      <c r="K40" s="85">
        <v>-8.0689999999999998E-3</v>
      </c>
    </row>
    <row r="41" spans="1:11" ht="15" customHeight="1" x14ac:dyDescent="0.2">
      <c r="A41" s="17">
        <v>45132</v>
      </c>
      <c r="B41" s="85">
        <v>-7.6179999999999998E-3</v>
      </c>
      <c r="C41" s="85">
        <v>1.1396999999999999E-2</v>
      </c>
      <c r="D41" s="85">
        <v>3.8793000000000001E-2</v>
      </c>
      <c r="E41" s="85">
        <v>-1.183E-2</v>
      </c>
      <c r="F41" s="85">
        <v>0.100563</v>
      </c>
      <c r="G41" s="85">
        <v>-2.5240000000000002E-3</v>
      </c>
      <c r="H41" s="85">
        <v>-4.9810000000000002E-3</v>
      </c>
      <c r="I41" s="85">
        <v>-1.0595E-2</v>
      </c>
      <c r="J41" s="85">
        <v>-0.15348500000000001</v>
      </c>
      <c r="K41" s="85">
        <v>3.0049999999999999E-3</v>
      </c>
    </row>
    <row r="42" spans="1:11" ht="15" customHeight="1" x14ac:dyDescent="0.2">
      <c r="A42" s="17">
        <v>45133</v>
      </c>
      <c r="B42" s="85">
        <v>7.7999999999999999E-4</v>
      </c>
      <c r="C42" s="85">
        <v>3.1785000000000001E-2</v>
      </c>
      <c r="D42" s="85">
        <v>-5.1857E-2</v>
      </c>
      <c r="E42" s="85">
        <v>-2.2733E-2</v>
      </c>
      <c r="F42" s="85">
        <v>5.3010000000000002E-3</v>
      </c>
      <c r="G42" s="85">
        <v>-1.5278E-2</v>
      </c>
      <c r="H42" s="85">
        <v>9.809E-3</v>
      </c>
      <c r="I42" s="85">
        <v>-3.0032E-2</v>
      </c>
      <c r="J42" s="85">
        <v>-3.7990999999999997E-2</v>
      </c>
      <c r="K42" s="85">
        <v>-2.7729999999999999E-3</v>
      </c>
    </row>
    <row r="43" spans="1:11" ht="15" customHeight="1" x14ac:dyDescent="0.2">
      <c r="A43" s="17">
        <v>45134</v>
      </c>
      <c r="B43" s="85">
        <v>3.041E-2</v>
      </c>
      <c r="C43" s="85">
        <v>1.4707E-2</v>
      </c>
      <c r="D43" s="85">
        <v>4.4697000000000001E-2</v>
      </c>
      <c r="E43" s="85">
        <v>3.0064E-2</v>
      </c>
      <c r="F43" s="85">
        <v>0.107322</v>
      </c>
      <c r="G43" s="85">
        <v>7.6680000000000003E-3</v>
      </c>
      <c r="H43" s="85">
        <v>1.8348E-2</v>
      </c>
      <c r="I43" s="85">
        <v>4.1797000000000001E-2</v>
      </c>
      <c r="J43" s="85">
        <v>3.3321000000000003E-2</v>
      </c>
      <c r="K43" s="85">
        <v>4.922E-2</v>
      </c>
    </row>
    <row r="44" spans="1:11" ht="15" customHeight="1" x14ac:dyDescent="0.2">
      <c r="A44" s="17">
        <v>45135</v>
      </c>
      <c r="B44" s="85">
        <v>1.1057000000000001E-2</v>
      </c>
      <c r="C44" s="85">
        <v>1.8752999999999999E-2</v>
      </c>
      <c r="D44" s="85">
        <v>3.9336000000000003E-2</v>
      </c>
      <c r="E44" s="85">
        <v>3.0508E-2</v>
      </c>
      <c r="F44" s="85">
        <v>3.7288000000000002E-2</v>
      </c>
      <c r="G44" s="85">
        <v>2.5430000000000001E-3</v>
      </c>
      <c r="H44" s="85">
        <v>-4.4999999999999999E-4</v>
      </c>
      <c r="I44" s="85">
        <v>2.8819999999999998E-2</v>
      </c>
      <c r="J44" s="85">
        <v>6.1726000000000003E-2</v>
      </c>
      <c r="K44" s="85">
        <v>9.8650000000000005E-3</v>
      </c>
    </row>
    <row r="45" spans="1:11" ht="15" customHeight="1" x14ac:dyDescent="0.2">
      <c r="A45" s="17">
        <v>45138</v>
      </c>
      <c r="B45" s="85">
        <v>-1.4997999999999999E-2</v>
      </c>
      <c r="C45" s="85">
        <v>-4.6167E-2</v>
      </c>
      <c r="D45" s="85">
        <v>-3.1581999999999999E-2</v>
      </c>
      <c r="E45" s="85">
        <v>-7.9799999999999999E-4</v>
      </c>
      <c r="F45" s="85">
        <v>-4.4778999999999999E-2</v>
      </c>
      <c r="G45" s="85">
        <v>2.5370000000000002E-3</v>
      </c>
      <c r="H45" s="85">
        <v>-4.7619999999999997E-3</v>
      </c>
      <c r="I45" s="85">
        <v>-5.0097999999999997E-2</v>
      </c>
      <c r="J45" s="85">
        <v>-7.0670000000000004E-3</v>
      </c>
      <c r="K45" s="85">
        <v>-1.1849999999999999E-2</v>
      </c>
    </row>
    <row r="46" spans="1:11" ht="15" customHeight="1" x14ac:dyDescent="0.2">
      <c r="A46" s="17">
        <v>45139</v>
      </c>
      <c r="B46" s="85">
        <v>-2.6780999999999999E-2</v>
      </c>
      <c r="C46" s="85">
        <v>-1.5119E-2</v>
      </c>
      <c r="D46" s="85">
        <v>-2.1014999999999999E-2</v>
      </c>
      <c r="E46" s="85">
        <v>-2.0545999999999998E-2</v>
      </c>
      <c r="F46" s="85">
        <v>-4.1099999999999999E-3</v>
      </c>
      <c r="G46" s="85">
        <v>-2.5370000000000002E-3</v>
      </c>
      <c r="H46" s="85">
        <v>-4.9319000000000002E-2</v>
      </c>
      <c r="I46" s="85">
        <v>3.578E-3</v>
      </c>
      <c r="J46" s="85">
        <v>-2.7866999999999999E-2</v>
      </c>
      <c r="K46" s="85">
        <v>-8.8818999999999995E-2</v>
      </c>
    </row>
    <row r="47" spans="1:11" ht="15" customHeight="1" x14ac:dyDescent="0.2">
      <c r="A47" s="17">
        <v>45140</v>
      </c>
      <c r="B47" s="85">
        <v>5.4450000000000002E-3</v>
      </c>
      <c r="C47" s="85">
        <v>-9.0720000000000002E-3</v>
      </c>
      <c r="D47" s="85">
        <v>4.8430000000000001E-3</v>
      </c>
      <c r="E47" s="85">
        <v>3.0209999999999998E-3</v>
      </c>
      <c r="F47" s="85">
        <v>5.9291000000000003E-2</v>
      </c>
      <c r="G47" s="85">
        <v>-1.2781000000000001E-2</v>
      </c>
      <c r="H47" s="85">
        <v>5.5409999999999999E-3</v>
      </c>
      <c r="I47" s="85">
        <v>1.1834000000000001E-2</v>
      </c>
      <c r="J47" s="85">
        <v>-1.6544E-2</v>
      </c>
      <c r="K47" s="85">
        <v>-7.9930000000000001E-3</v>
      </c>
    </row>
    <row r="48" spans="1:11" ht="15" customHeight="1" x14ac:dyDescent="0.2">
      <c r="A48" s="17">
        <v>45141</v>
      </c>
      <c r="B48" s="85">
        <v>7.9451999999999995E-2</v>
      </c>
      <c r="C48" s="85">
        <v>-2.3045E-2</v>
      </c>
      <c r="D48" s="85">
        <v>-4.5082999999999998E-2</v>
      </c>
      <c r="E48" s="85">
        <v>1.3910000000000001E-3</v>
      </c>
      <c r="F48" s="85">
        <v>-4.9049000000000002E-2</v>
      </c>
      <c r="G48" s="85">
        <v>5.1320000000000003E-3</v>
      </c>
      <c r="H48" s="85">
        <v>3.7000000000000002E-3</v>
      </c>
      <c r="I48" s="85">
        <v>-1.1770000000000001E-3</v>
      </c>
      <c r="J48" s="85">
        <v>-3.7139999999999999E-3</v>
      </c>
      <c r="K48" s="85">
        <v>-2.3373999999999999E-2</v>
      </c>
    </row>
    <row r="49" spans="1:11" ht="15" customHeight="1" x14ac:dyDescent="0.2">
      <c r="A49" s="17">
        <v>45142</v>
      </c>
      <c r="B49" s="85">
        <v>1.8808999999999999E-2</v>
      </c>
      <c r="C49" s="85">
        <v>5.0013000000000002E-2</v>
      </c>
      <c r="D49" s="85">
        <v>-4.9201000000000002E-2</v>
      </c>
      <c r="E49" s="85">
        <v>2.1000999999999999E-2</v>
      </c>
      <c r="F49" s="85">
        <v>6.7710000000000001E-3</v>
      </c>
      <c r="G49" s="85">
        <v>-2.5630000000000002E-3</v>
      </c>
      <c r="H49" s="85">
        <v>1.636E-2</v>
      </c>
      <c r="I49" s="85">
        <v>-4.3327999999999998E-2</v>
      </c>
      <c r="J49" s="85">
        <v>-1.6886000000000002E-2</v>
      </c>
      <c r="K49" s="85">
        <v>-5.4920000000000004E-3</v>
      </c>
    </row>
    <row r="50" spans="1:11" ht="15" customHeight="1" x14ac:dyDescent="0.2">
      <c r="A50" s="17">
        <v>45145</v>
      </c>
      <c r="B50" s="85">
        <v>-1.6160999999999998E-2</v>
      </c>
      <c r="C50" s="85">
        <v>-6.6769999999999998E-3</v>
      </c>
      <c r="D50" s="85">
        <v>4.2228000000000002E-2</v>
      </c>
      <c r="E50" s="85">
        <v>-5.5970000000000004E-3</v>
      </c>
      <c r="F50" s="85">
        <v>-5.1933E-2</v>
      </c>
      <c r="G50" s="85">
        <v>0</v>
      </c>
      <c r="H50" s="85">
        <v>-1.6718E-2</v>
      </c>
      <c r="I50" s="85">
        <v>1.7073999999999999E-2</v>
      </c>
      <c r="J50" s="85">
        <v>-2.8419999999999999E-3</v>
      </c>
      <c r="K50" s="85">
        <v>-2.6891999999999999E-2</v>
      </c>
    </row>
    <row r="51" spans="1:11" ht="15" customHeight="1" x14ac:dyDescent="0.2">
      <c r="A51" s="17">
        <v>45146</v>
      </c>
      <c r="B51" s="85">
        <v>-1.5048000000000001E-2</v>
      </c>
      <c r="C51" s="85">
        <v>-3.6946E-2</v>
      </c>
      <c r="D51" s="85">
        <v>-1.3448999999999999E-2</v>
      </c>
      <c r="E51" s="85">
        <v>-2.1680000000000001E-2</v>
      </c>
      <c r="F51" s="85">
        <v>-4.4323000000000001E-2</v>
      </c>
      <c r="G51" s="85">
        <v>0</v>
      </c>
      <c r="H51" s="85">
        <v>-4.8392999999999999E-2</v>
      </c>
      <c r="I51" s="85">
        <v>1.3213000000000001E-2</v>
      </c>
      <c r="J51" s="85">
        <v>-9.5329999999999998E-3</v>
      </c>
      <c r="K51" s="85">
        <v>-3.4797000000000002E-2</v>
      </c>
    </row>
    <row r="52" spans="1:11" ht="15" customHeight="1" x14ac:dyDescent="0.2">
      <c r="A52" s="17">
        <v>45147</v>
      </c>
      <c r="B52" s="85">
        <v>5.1370000000000001E-3</v>
      </c>
      <c r="C52" s="85">
        <v>5.1989999999999996E-3</v>
      </c>
      <c r="D52" s="85">
        <v>-6.3894000000000006E-2</v>
      </c>
      <c r="E52" s="85">
        <v>2.5149999999999999E-3</v>
      </c>
      <c r="F52" s="85">
        <v>-1.5724999999999999E-2</v>
      </c>
      <c r="G52" s="85">
        <v>1.2748000000000001E-2</v>
      </c>
      <c r="H52" s="85">
        <v>-3.9090000000000001E-3</v>
      </c>
      <c r="I52" s="85">
        <v>7.1339999999999997E-3</v>
      </c>
      <c r="J52" s="85">
        <v>-2.1298000000000001E-2</v>
      </c>
      <c r="K52" s="85">
        <v>-1.2592000000000001E-2</v>
      </c>
    </row>
    <row r="53" spans="1:11" ht="15" customHeight="1" x14ac:dyDescent="0.2">
      <c r="A53" s="17">
        <v>45148</v>
      </c>
      <c r="B53" s="85">
        <v>-1.083E-3</v>
      </c>
      <c r="C53" s="85">
        <v>-3.3387E-2</v>
      </c>
      <c r="D53" s="85">
        <v>2.2426999999999999E-2</v>
      </c>
      <c r="E53" s="85">
        <v>-1.9539000000000001E-2</v>
      </c>
      <c r="F53" s="85">
        <v>-2.6769999999999999E-2</v>
      </c>
      <c r="G53" s="85">
        <v>-1.5317000000000001E-2</v>
      </c>
      <c r="H53" s="85">
        <v>-3.6836000000000001E-2</v>
      </c>
      <c r="I53" s="85">
        <v>1.8780000000000002E-2</v>
      </c>
      <c r="J53" s="85">
        <v>-1.8766000000000001E-2</v>
      </c>
      <c r="K53" s="85">
        <v>-1.248E-2</v>
      </c>
    </row>
    <row r="54" spans="1:11" ht="15" customHeight="1" x14ac:dyDescent="0.2">
      <c r="A54" s="17">
        <v>45149</v>
      </c>
      <c r="B54" s="85">
        <v>1.5485000000000001E-2</v>
      </c>
      <c r="C54" s="85">
        <v>2.385E-3</v>
      </c>
      <c r="D54" s="85">
        <v>7.365E-3</v>
      </c>
      <c r="E54" s="85">
        <v>1.4409999999999999E-2</v>
      </c>
      <c r="F54" s="85">
        <v>-2.9899999999999999E-2</v>
      </c>
      <c r="G54" s="85">
        <v>-5.1580000000000003E-3</v>
      </c>
      <c r="H54" s="85">
        <v>6.8529999999999994E-2</v>
      </c>
      <c r="I54" s="85">
        <v>-2.9500999999999999E-2</v>
      </c>
      <c r="J54" s="85">
        <v>-9.0139999999999994E-3</v>
      </c>
      <c r="K54" s="85">
        <v>-2.4599999999999999E-3</v>
      </c>
    </row>
    <row r="55" spans="1:11" ht="15" customHeight="1" x14ac:dyDescent="0.2">
      <c r="A55" s="17">
        <v>45152</v>
      </c>
      <c r="B55" s="85">
        <v>-2.0846E-2</v>
      </c>
      <c r="C55" s="85">
        <v>-1.3159000000000001E-2</v>
      </c>
      <c r="D55" s="85">
        <v>-7.3339000000000001E-2</v>
      </c>
      <c r="E55" s="85">
        <v>-9.5829999999999995E-3</v>
      </c>
      <c r="F55" s="85">
        <v>-5.6689000000000003E-2</v>
      </c>
      <c r="G55" s="85">
        <v>-1.8238000000000001E-2</v>
      </c>
      <c r="H55" s="85">
        <v>4.2659999999999998E-3</v>
      </c>
      <c r="I55" s="85">
        <v>-2.4244000000000002E-2</v>
      </c>
      <c r="J55" s="85">
        <v>-3.8979E-2</v>
      </c>
      <c r="K55" s="85">
        <v>-3.3958000000000002E-2</v>
      </c>
    </row>
    <row r="56" spans="1:11" ht="15" customHeight="1" x14ac:dyDescent="0.2">
      <c r="A56" s="17">
        <v>45153</v>
      </c>
      <c r="B56" s="85">
        <v>-1.9066E-2</v>
      </c>
      <c r="C56" s="85">
        <v>-2.6228000000000001E-2</v>
      </c>
      <c r="D56" s="85">
        <v>-3.1355000000000001E-2</v>
      </c>
      <c r="E56" s="85">
        <v>-1.9663E-2</v>
      </c>
      <c r="F56" s="85">
        <v>-3.7025000000000002E-2</v>
      </c>
      <c r="G56" s="85">
        <v>-1.059E-2</v>
      </c>
      <c r="H56" s="85">
        <v>-1.0387E-2</v>
      </c>
      <c r="I56" s="85">
        <v>0</v>
      </c>
      <c r="J56" s="85">
        <v>-4.2742000000000002E-2</v>
      </c>
      <c r="K56" s="85">
        <v>-1.771E-2</v>
      </c>
    </row>
    <row r="57" spans="1:11" ht="15" customHeight="1" x14ac:dyDescent="0.2">
      <c r="A57" s="17">
        <v>45154</v>
      </c>
      <c r="B57" s="85">
        <v>-8.1030000000000008E-3</v>
      </c>
      <c r="C57" s="85">
        <v>-2.3768999999999998E-2</v>
      </c>
      <c r="D57" s="85">
        <v>-9.7164E-2</v>
      </c>
      <c r="E57" s="85">
        <v>-3.0426000000000002E-2</v>
      </c>
      <c r="F57" s="85">
        <v>8.7340000000000004E-3</v>
      </c>
      <c r="G57" s="85">
        <v>2.6580000000000002E-3</v>
      </c>
      <c r="H57" s="85">
        <v>-3.271E-3</v>
      </c>
      <c r="I57" s="85">
        <v>-1.2345999999999999E-2</v>
      </c>
      <c r="J57" s="85">
        <v>-1.3187000000000001E-2</v>
      </c>
      <c r="K57" s="85">
        <v>-2.5096E-2</v>
      </c>
    </row>
    <row r="58" spans="1:11" ht="15" customHeight="1" x14ac:dyDescent="0.2">
      <c r="A58" s="17">
        <v>45155</v>
      </c>
      <c r="B58" s="85">
        <v>-5.6889999999999996E-3</v>
      </c>
      <c r="C58" s="85">
        <v>-1.3377999999999999E-2</v>
      </c>
      <c r="D58" s="85">
        <v>-8.2494999999999999E-2</v>
      </c>
      <c r="E58" s="85">
        <v>3.7889999999999998E-3</v>
      </c>
      <c r="F58" s="85">
        <v>-7.4911000000000005E-2</v>
      </c>
      <c r="G58" s="85">
        <v>1.0562E-2</v>
      </c>
      <c r="H58" s="85">
        <v>-1.0369999999999999E-3</v>
      </c>
      <c r="I58" s="85">
        <v>2.0898E-2</v>
      </c>
      <c r="J58" s="85">
        <v>1.5368E-2</v>
      </c>
      <c r="K58" s="85">
        <v>1.6704E-2</v>
      </c>
    </row>
    <row r="59" spans="1:11" ht="15" customHeight="1" x14ac:dyDescent="0.2">
      <c r="A59" s="17">
        <v>45156</v>
      </c>
      <c r="B59" s="85">
        <v>1.09E-2</v>
      </c>
      <c r="C59" s="85">
        <v>7.6649999999999999E-3</v>
      </c>
      <c r="D59" s="85">
        <v>-2.0601000000000001E-2</v>
      </c>
      <c r="E59" s="85">
        <v>9.2519999999999998E-3</v>
      </c>
      <c r="F59" s="85">
        <v>2.5902999999999999E-2</v>
      </c>
      <c r="G59" s="85">
        <v>0</v>
      </c>
      <c r="H59" s="85">
        <v>8.1314999999999998E-2</v>
      </c>
      <c r="I59" s="85">
        <v>-1.4706E-2</v>
      </c>
      <c r="J59" s="85">
        <v>1.9418000000000001E-2</v>
      </c>
      <c r="K59" s="85">
        <v>2.9020000000000001E-3</v>
      </c>
    </row>
    <row r="60" spans="1:11" ht="15" customHeight="1" x14ac:dyDescent="0.2">
      <c r="A60" s="17">
        <v>45159</v>
      </c>
      <c r="B60" s="85">
        <v>-3.1979999999999999E-3</v>
      </c>
      <c r="C60" s="85">
        <v>-3.1900000000000001E-3</v>
      </c>
      <c r="D60" s="85">
        <v>-9.0910000000000001E-3</v>
      </c>
      <c r="E60" s="85">
        <v>1.1880999999999999E-2</v>
      </c>
      <c r="F60" s="85">
        <v>-1.472E-2</v>
      </c>
      <c r="G60" s="85">
        <v>-2.63E-3</v>
      </c>
      <c r="H60" s="85">
        <v>-2.8048E-2</v>
      </c>
      <c r="I60" s="85">
        <v>-3.5180000000000003E-2</v>
      </c>
      <c r="J60" s="85">
        <v>-1.1821999999999999E-2</v>
      </c>
      <c r="K60" s="85">
        <v>-1.3419E-2</v>
      </c>
    </row>
    <row r="61" spans="1:11" ht="15" customHeight="1" x14ac:dyDescent="0.2">
      <c r="A61" s="17">
        <v>45160</v>
      </c>
      <c r="B61" s="85">
        <v>9.4149999999999998E-3</v>
      </c>
      <c r="C61" s="85">
        <v>3.6984000000000003E-2</v>
      </c>
      <c r="D61" s="85">
        <v>7.0513999999999993E-2</v>
      </c>
      <c r="E61" s="85">
        <v>3.4211999999999999E-2</v>
      </c>
      <c r="F61" s="85">
        <v>4.6230000000000004E-3</v>
      </c>
      <c r="G61" s="85">
        <v>7.8689999999999993E-3</v>
      </c>
      <c r="H61" s="85">
        <v>3.1215E-2</v>
      </c>
      <c r="I61" s="85">
        <v>6.3740000000000003E-3</v>
      </c>
      <c r="J61" s="85">
        <v>-1.0820000000000001E-3</v>
      </c>
      <c r="K61" s="85">
        <v>1.6889999999999999E-2</v>
      </c>
    </row>
    <row r="62" spans="1:11" ht="15" customHeight="1" x14ac:dyDescent="0.2">
      <c r="A62" s="17">
        <v>45161</v>
      </c>
      <c r="B62" s="85">
        <v>-2.7529999999999999E-2</v>
      </c>
      <c r="C62" s="85">
        <v>-3.3794999999999999E-2</v>
      </c>
      <c r="D62" s="85">
        <v>-0.107727</v>
      </c>
      <c r="E62" s="85">
        <v>-4.9430000000000002E-2</v>
      </c>
      <c r="F62" s="85">
        <v>-1.8623000000000001E-2</v>
      </c>
      <c r="G62" s="85">
        <v>-1.5800999999999999E-2</v>
      </c>
      <c r="H62" s="85">
        <v>9.9799999999999997E-4</v>
      </c>
      <c r="I62" s="85">
        <v>-3.3595E-2</v>
      </c>
      <c r="J62" s="85">
        <v>1.3971000000000001E-2</v>
      </c>
      <c r="K62" s="85">
        <v>-2.2780999999999999E-2</v>
      </c>
    </row>
    <row r="63" spans="1:11" ht="15" customHeight="1" x14ac:dyDescent="0.2">
      <c r="A63" s="17">
        <v>45162</v>
      </c>
      <c r="B63" s="85">
        <v>1.0713E-2</v>
      </c>
      <c r="C63" s="85">
        <v>1.2019999999999999E-2</v>
      </c>
      <c r="D63" s="85">
        <v>0</v>
      </c>
      <c r="E63" s="85">
        <v>2.2116E-2</v>
      </c>
      <c r="F63" s="85">
        <v>1.77E-2</v>
      </c>
      <c r="G63" s="85">
        <v>7.9319999999999998E-3</v>
      </c>
      <c r="H63" s="85">
        <v>-2.4577000000000002E-2</v>
      </c>
      <c r="I63" s="85">
        <v>1.4350999999999999E-2</v>
      </c>
      <c r="J63" s="85">
        <v>-1.289E-2</v>
      </c>
      <c r="K63" s="85">
        <v>2.5377E-2</v>
      </c>
    </row>
    <row r="64" spans="1:11" ht="15" customHeight="1" x14ac:dyDescent="0.2">
      <c r="A64" s="17">
        <v>45163</v>
      </c>
      <c r="B64" s="85">
        <v>-9.01E-4</v>
      </c>
      <c r="C64" s="85">
        <v>-1.2019999999999999E-2</v>
      </c>
      <c r="D64" s="85">
        <v>6.613E-3</v>
      </c>
      <c r="E64" s="85">
        <v>4.8679999999999999E-3</v>
      </c>
      <c r="F64" s="85">
        <v>1.7392000000000001E-2</v>
      </c>
      <c r="G64" s="85">
        <v>1.3081000000000001E-2</v>
      </c>
      <c r="H64" s="85">
        <v>1.7597000000000002E-2</v>
      </c>
      <c r="I64" s="85">
        <v>0</v>
      </c>
      <c r="J64" s="85">
        <v>2.1391E-2</v>
      </c>
      <c r="K64" s="85">
        <v>-8.6399999999999997E-4</v>
      </c>
    </row>
    <row r="65" spans="1:11" ht="15" customHeight="1" x14ac:dyDescent="0.2">
      <c r="A65" s="17">
        <v>45166</v>
      </c>
      <c r="B65" s="85">
        <v>1.3207E-2</v>
      </c>
      <c r="C65" s="85">
        <v>2.0788999999999998E-2</v>
      </c>
      <c r="D65" s="85">
        <v>0.25319599999999998</v>
      </c>
      <c r="E65" s="85">
        <v>2.8136999999999999E-2</v>
      </c>
      <c r="F65" s="85">
        <v>-1.1867000000000001E-2</v>
      </c>
      <c r="G65" s="85">
        <v>2.5633E-2</v>
      </c>
      <c r="H65" s="85">
        <v>4.0772000000000003E-2</v>
      </c>
      <c r="I65" s="85">
        <v>2.8098999999999999E-2</v>
      </c>
      <c r="J65" s="85">
        <v>4.5509000000000001E-2</v>
      </c>
      <c r="K65" s="85">
        <v>6.3655000000000003E-2</v>
      </c>
    </row>
    <row r="66" spans="1:11" ht="15" customHeight="1" x14ac:dyDescent="0.2">
      <c r="A66" s="17">
        <v>45167</v>
      </c>
      <c r="B66" s="85">
        <v>1.1850000000000001E-3</v>
      </c>
      <c r="C66" s="85">
        <v>-1.0654E-2</v>
      </c>
      <c r="D66" s="85">
        <v>-1.5469999999999999E-2</v>
      </c>
      <c r="E66" s="85">
        <v>1.0825E-2</v>
      </c>
      <c r="F66" s="85">
        <v>-2.0409E-2</v>
      </c>
      <c r="G66" s="85">
        <v>7.5719999999999997E-3</v>
      </c>
      <c r="H66" s="85">
        <v>9.7909999999999994E-3</v>
      </c>
      <c r="I66" s="85">
        <v>2.8556000000000002E-2</v>
      </c>
      <c r="J66" s="85">
        <v>2.299E-2</v>
      </c>
      <c r="K66" s="85">
        <v>1.3434E-2</v>
      </c>
    </row>
    <row r="67" spans="1:11" ht="15" customHeight="1" x14ac:dyDescent="0.2">
      <c r="A67" s="17">
        <v>45168</v>
      </c>
      <c r="B67" s="85">
        <v>2.1533E-2</v>
      </c>
      <c r="C67" s="85">
        <v>-3.1570000000000001E-3</v>
      </c>
      <c r="D67" s="85">
        <v>-6.9152000000000005E-2</v>
      </c>
      <c r="E67" s="85">
        <v>-2.2799999999999999E-3</v>
      </c>
      <c r="F67" s="85">
        <v>-3.8209E-2</v>
      </c>
      <c r="G67" s="85">
        <v>2.5110000000000002E-3</v>
      </c>
      <c r="H67" s="85">
        <v>1.8450000000000001E-3</v>
      </c>
      <c r="I67" s="85">
        <v>1.2229999999999999E-3</v>
      </c>
      <c r="J67" s="85">
        <v>2.2473E-2</v>
      </c>
      <c r="K67" s="85">
        <v>-1.0732999999999999E-2</v>
      </c>
    </row>
    <row r="68" spans="1:11" ht="15" customHeight="1" x14ac:dyDescent="0.2">
      <c r="A68" s="17">
        <v>45169</v>
      </c>
      <c r="B68" s="85">
        <v>7.9699999999999997E-4</v>
      </c>
      <c r="C68" s="85">
        <v>-5.7060000000000001E-3</v>
      </c>
      <c r="D68" s="85">
        <v>-4.6406000000000003E-2</v>
      </c>
      <c r="E68" s="85">
        <v>1.4194999999999999E-2</v>
      </c>
      <c r="F68" s="85">
        <v>6.8668000000000007E-2</v>
      </c>
      <c r="G68" s="85">
        <v>0</v>
      </c>
      <c r="H68" s="85">
        <v>-1.7288999999999999E-2</v>
      </c>
      <c r="I68" s="85">
        <v>3.3656999999999999E-2</v>
      </c>
      <c r="J68" s="85">
        <v>8.6580000000000008E-3</v>
      </c>
      <c r="K68" s="85">
        <v>5.3899999999999998E-4</v>
      </c>
    </row>
    <row r="69" spans="1:11" ht="15" customHeight="1" x14ac:dyDescent="0.2">
      <c r="A69" s="17">
        <v>45170</v>
      </c>
      <c r="B69" s="85">
        <v>-6.1729999999999997E-3</v>
      </c>
      <c r="C69" s="85">
        <v>-2.3148999999999999E-2</v>
      </c>
      <c r="D69" s="85">
        <v>0</v>
      </c>
      <c r="E69" s="85">
        <v>1.9807999999999999E-2</v>
      </c>
      <c r="F69" s="85">
        <v>-1.7423999999999999E-2</v>
      </c>
      <c r="G69" s="85">
        <v>2.5049999999999998E-3</v>
      </c>
      <c r="H69" s="85">
        <v>8.0400000000000003E-4</v>
      </c>
      <c r="I69" s="85">
        <v>-3.2434999999999999E-2</v>
      </c>
      <c r="J69" s="85">
        <v>1.9139999999999999E-3</v>
      </c>
      <c r="K69" s="85">
        <v>3.9386999999999998E-2</v>
      </c>
    </row>
    <row r="70" spans="1:11" ht="15" customHeight="1" x14ac:dyDescent="0.2">
      <c r="A70" s="17">
        <v>45174</v>
      </c>
      <c r="B70" s="85">
        <v>-1.4012E-2</v>
      </c>
      <c r="C70" s="85">
        <v>3.895E-3</v>
      </c>
      <c r="D70" s="85">
        <v>4.9880000000000002E-3</v>
      </c>
      <c r="E70" s="85">
        <v>-6.5290000000000001E-3</v>
      </c>
      <c r="F70" s="85">
        <v>-2.1506000000000001E-2</v>
      </c>
      <c r="G70" s="85">
        <v>1.2404999999999999E-2</v>
      </c>
      <c r="H70" s="85">
        <v>-3.1026999999999999E-2</v>
      </c>
      <c r="I70" s="85">
        <v>0</v>
      </c>
      <c r="J70" s="85">
        <v>-8.2674999999999998E-2</v>
      </c>
      <c r="K70" s="85">
        <v>1.8235999999999999E-2</v>
      </c>
    </row>
    <row r="71" spans="1:11" ht="15" customHeight="1" x14ac:dyDescent="0.2">
      <c r="A71" s="17">
        <v>45175</v>
      </c>
      <c r="B71" s="85">
        <v>1.8228000000000001E-2</v>
      </c>
      <c r="C71" s="85">
        <v>-8.4609999999999998E-3</v>
      </c>
      <c r="D71" s="85">
        <v>2.4570999999999999E-2</v>
      </c>
      <c r="E71" s="85">
        <v>-5.8950000000000001E-3</v>
      </c>
      <c r="F71" s="85">
        <v>-4.8411999999999997E-2</v>
      </c>
      <c r="G71" s="85">
        <v>4.9300000000000004E-3</v>
      </c>
      <c r="H71" s="85">
        <v>-1.7576999999999999E-2</v>
      </c>
      <c r="I71" s="85">
        <v>-1.3521999999999999E-2</v>
      </c>
      <c r="J71" s="85">
        <v>9.3019999999999995E-3</v>
      </c>
      <c r="K71" s="85">
        <v>-3.3120999999999998E-2</v>
      </c>
    </row>
    <row r="72" spans="1:11" ht="15" customHeight="1" x14ac:dyDescent="0.2">
      <c r="A72" s="17">
        <v>45176</v>
      </c>
      <c r="B72" s="85">
        <v>2.7529999999999998E-3</v>
      </c>
      <c r="C72" s="85">
        <v>0</v>
      </c>
      <c r="D72" s="85">
        <v>-0.12478599999999999</v>
      </c>
      <c r="E72" s="85">
        <v>-7.6800000000000002E-4</v>
      </c>
      <c r="F72" s="85">
        <v>-3.9760000000000004E-3</v>
      </c>
      <c r="G72" s="85">
        <v>-7.404E-3</v>
      </c>
      <c r="H72" s="85">
        <v>-1.4572999999999999E-2</v>
      </c>
      <c r="I72" s="85">
        <v>1.23E-2</v>
      </c>
      <c r="J72" s="85">
        <v>-3.4540000000000001E-2</v>
      </c>
      <c r="K72" s="85">
        <v>-8.7200000000000003E-3</v>
      </c>
    </row>
    <row r="73" spans="1:11" ht="15" customHeight="1" x14ac:dyDescent="0.2">
      <c r="A73" s="17">
        <v>45177</v>
      </c>
      <c r="B73" s="85">
        <v>3.4625000000000003E-2</v>
      </c>
      <c r="C73" s="85">
        <v>1.1698E-2</v>
      </c>
      <c r="D73" s="85">
        <v>-8.0118999999999996E-2</v>
      </c>
      <c r="E73" s="85">
        <v>5.7650000000000002E-3</v>
      </c>
      <c r="F73" s="85">
        <v>2.8475E-2</v>
      </c>
      <c r="G73" s="85">
        <v>7.404E-3</v>
      </c>
      <c r="H73" s="85">
        <v>-8.685E-3</v>
      </c>
      <c r="I73" s="85">
        <v>-7.3619999999999996E-3</v>
      </c>
      <c r="J73" s="85">
        <v>5.3109999999999997E-3</v>
      </c>
      <c r="K73" s="85">
        <v>8.9829999999999997E-3</v>
      </c>
    </row>
    <row r="74" spans="1:11" ht="15" customHeight="1" x14ac:dyDescent="0.2">
      <c r="A74" s="17">
        <v>45180</v>
      </c>
      <c r="B74" s="85">
        <v>-1.3154000000000001E-2</v>
      </c>
      <c r="C74" s="85">
        <v>-1.292E-3</v>
      </c>
      <c r="D74" s="85">
        <v>8.8979999999999997E-3</v>
      </c>
      <c r="E74" s="85">
        <v>-2.4250000000000001E-2</v>
      </c>
      <c r="F74" s="85">
        <v>2.2967999999999999E-2</v>
      </c>
      <c r="G74" s="85">
        <v>-4.9300000000000004E-3</v>
      </c>
      <c r="H74" s="85">
        <v>-6.8409999999999999E-3</v>
      </c>
      <c r="I74" s="85">
        <v>6.7843000000000001E-2</v>
      </c>
      <c r="J74" s="85">
        <v>1.4722000000000001E-2</v>
      </c>
      <c r="K74" s="85">
        <v>2.4680000000000001E-2</v>
      </c>
    </row>
    <row r="75" spans="1:11" ht="15" customHeight="1" x14ac:dyDescent="0.2">
      <c r="A75" s="17">
        <v>45181</v>
      </c>
      <c r="B75" s="85">
        <v>2.5309000000000002E-2</v>
      </c>
      <c r="C75" s="85">
        <v>-2.8875000000000001E-2</v>
      </c>
      <c r="D75" s="85">
        <v>-2.6934E-2</v>
      </c>
      <c r="E75" s="85">
        <v>-5.3026999999999998E-2</v>
      </c>
      <c r="F75" s="85">
        <v>-4.8459000000000002E-2</v>
      </c>
      <c r="G75" s="85">
        <v>-9.9330000000000009E-3</v>
      </c>
      <c r="H75" s="85">
        <v>1.3613999999999999E-2</v>
      </c>
      <c r="I75" s="85">
        <v>-4.9537999999999999E-2</v>
      </c>
      <c r="J75" s="85">
        <v>-3.0738999999999999E-2</v>
      </c>
      <c r="K75" s="85">
        <v>-5.6751000000000003E-2</v>
      </c>
    </row>
    <row r="76" spans="1:11" ht="15" customHeight="1" x14ac:dyDescent="0.2">
      <c r="A76" s="17">
        <v>45182</v>
      </c>
      <c r="B76" s="85">
        <v>-8.9800000000000004E-4</v>
      </c>
      <c r="C76" s="85">
        <v>3.9809999999999998E-2</v>
      </c>
      <c r="D76" s="85">
        <v>1.1061E-2</v>
      </c>
      <c r="E76" s="85">
        <v>-2.8917000000000002E-2</v>
      </c>
      <c r="F76" s="85">
        <v>3.032E-2</v>
      </c>
      <c r="G76" s="85">
        <v>2.4919999999999999E-3</v>
      </c>
      <c r="H76" s="85">
        <v>2.1099999999999999E-3</v>
      </c>
      <c r="I76" s="85">
        <v>4.6080000000000003E-2</v>
      </c>
      <c r="J76" s="85">
        <v>-1.4092E-2</v>
      </c>
      <c r="K76" s="85">
        <v>-3.0609999999999998E-2</v>
      </c>
    </row>
    <row r="77" spans="1:11" ht="15" customHeight="1" x14ac:dyDescent="0.2">
      <c r="A77" s="17">
        <v>45183</v>
      </c>
      <c r="B77" s="85">
        <v>-3.0377000000000001E-2</v>
      </c>
      <c r="C77" s="85">
        <v>-2.8556000000000002E-2</v>
      </c>
      <c r="D77" s="85">
        <v>-2.0202999999999999E-2</v>
      </c>
      <c r="E77" s="85">
        <v>-8.9040000000000005E-3</v>
      </c>
      <c r="F77" s="85">
        <v>4.8050000000000002E-3</v>
      </c>
      <c r="G77" s="85">
        <v>-2.2631999999999999E-2</v>
      </c>
      <c r="H77" s="85">
        <v>-3.7578E-2</v>
      </c>
      <c r="I77" s="85">
        <v>-4.1255E-2</v>
      </c>
      <c r="J77" s="85">
        <v>0</v>
      </c>
      <c r="K77" s="85">
        <v>1.6938000000000002E-2</v>
      </c>
    </row>
    <row r="78" spans="1:11" ht="15" customHeight="1" x14ac:dyDescent="0.2">
      <c r="A78" s="17">
        <v>45184</v>
      </c>
      <c r="B78" s="85">
        <v>-2.9250000000000001E-3</v>
      </c>
      <c r="C78" s="85">
        <v>-9.9229999999999995E-3</v>
      </c>
      <c r="D78" s="85">
        <v>-1.021E-3</v>
      </c>
      <c r="E78" s="85">
        <v>-6.4200000000000004E-3</v>
      </c>
      <c r="F78" s="85">
        <v>-1.1572000000000001E-2</v>
      </c>
      <c r="G78" s="85">
        <v>5.0800000000000003E-3</v>
      </c>
      <c r="H78" s="85">
        <v>1.503E-3</v>
      </c>
      <c r="I78" s="85">
        <v>-1.204E-3</v>
      </c>
      <c r="J78" s="85">
        <v>-2.9919000000000001E-2</v>
      </c>
      <c r="K78" s="85">
        <v>-8.2317000000000001E-2</v>
      </c>
    </row>
    <row r="79" spans="1:11" ht="15" customHeight="1" x14ac:dyDescent="0.2">
      <c r="A79" s="17">
        <v>45187</v>
      </c>
      <c r="B79" s="85">
        <v>-1.6931000000000002E-2</v>
      </c>
      <c r="C79" s="85">
        <v>3.3210000000000002E-3</v>
      </c>
      <c r="D79" s="85">
        <v>-2.3774E-2</v>
      </c>
      <c r="E79" s="85">
        <v>4.5539999999999999E-3</v>
      </c>
      <c r="F79" s="85">
        <v>-0.18718299999999999</v>
      </c>
      <c r="G79" s="85">
        <v>1.2588E-2</v>
      </c>
      <c r="H79" s="85">
        <v>-1.0196E-2</v>
      </c>
      <c r="I79" s="85">
        <v>-2.8101999999999999E-2</v>
      </c>
      <c r="J79" s="85">
        <v>1.2298E-2</v>
      </c>
      <c r="K79" s="85">
        <v>1.5132E-2</v>
      </c>
    </row>
    <row r="80" spans="1:11" ht="15" customHeight="1" x14ac:dyDescent="0.2">
      <c r="A80" s="17">
        <v>45188</v>
      </c>
      <c r="B80" s="85">
        <v>-1.7148E-2</v>
      </c>
      <c r="C80" s="85">
        <v>-2.9593999999999999E-2</v>
      </c>
      <c r="D80" s="85">
        <v>-2.8649000000000001E-2</v>
      </c>
      <c r="E80" s="85">
        <v>-2.5305000000000001E-2</v>
      </c>
      <c r="F80" s="85">
        <v>3.1091000000000001E-2</v>
      </c>
      <c r="G80" s="85">
        <v>-1.0057E-2</v>
      </c>
      <c r="H80" s="85">
        <v>-2.9877000000000001E-2</v>
      </c>
      <c r="I80" s="85">
        <v>3.7109999999999999E-3</v>
      </c>
      <c r="J80" s="85">
        <v>3.3279999999999998E-3</v>
      </c>
      <c r="K80" s="85">
        <v>-1.9026000000000001E-2</v>
      </c>
    </row>
    <row r="81" spans="1:11" ht="15" customHeight="1" x14ac:dyDescent="0.2">
      <c r="A81" s="17">
        <v>45189</v>
      </c>
      <c r="B81" s="85">
        <v>-4.5053000000000003E-2</v>
      </c>
      <c r="C81" s="85">
        <v>-1.3747000000000001E-2</v>
      </c>
      <c r="D81" s="85">
        <v>-1.4092E-2</v>
      </c>
      <c r="E81" s="85">
        <v>-5.581E-3</v>
      </c>
      <c r="F81" s="85">
        <v>-4.2854999999999997E-2</v>
      </c>
      <c r="G81" s="85">
        <v>-2.3005999999999999E-2</v>
      </c>
      <c r="H81" s="85">
        <v>-2.9359E-2</v>
      </c>
      <c r="I81" s="85">
        <v>-1.8692E-2</v>
      </c>
      <c r="J81" s="85">
        <v>-4.5308000000000001E-2</v>
      </c>
      <c r="K81" s="85">
        <v>-4.8895000000000001E-2</v>
      </c>
    </row>
    <row r="82" spans="1:11" ht="15" customHeight="1" x14ac:dyDescent="0.2">
      <c r="A82" s="17">
        <v>45190</v>
      </c>
      <c r="B82" s="85">
        <v>-1.6249999999999999E-3</v>
      </c>
      <c r="C82" s="85">
        <v>-2.8067999999999999E-2</v>
      </c>
      <c r="D82" s="85">
        <v>-5.4976999999999998E-2</v>
      </c>
      <c r="E82" s="85">
        <v>-1.1362000000000001E-2</v>
      </c>
      <c r="F82" s="85">
        <v>9.4230000000000008E-3</v>
      </c>
      <c r="G82" s="85">
        <v>5.1580000000000003E-3</v>
      </c>
      <c r="H82" s="85">
        <v>1.4354E-2</v>
      </c>
      <c r="I82" s="85">
        <v>2.3618E-2</v>
      </c>
      <c r="J82" s="85">
        <v>6.9280000000000001E-3</v>
      </c>
      <c r="K82" s="85">
        <v>-3.7889999999999998E-3</v>
      </c>
    </row>
    <row r="83" spans="1:11" ht="15" customHeight="1" x14ac:dyDescent="0.2">
      <c r="A83" s="17">
        <v>45191</v>
      </c>
      <c r="B83" s="85">
        <v>1.6514000000000001E-2</v>
      </c>
      <c r="C83" s="85">
        <v>-1.074E-2</v>
      </c>
      <c r="D83" s="85">
        <v>-1.2769000000000001E-2</v>
      </c>
      <c r="E83" s="85">
        <v>1.3053E-2</v>
      </c>
      <c r="F83" s="85">
        <v>-2.1328E-2</v>
      </c>
      <c r="G83" s="85">
        <v>-1.5528E-2</v>
      </c>
      <c r="H83" s="85">
        <v>1.4602E-2</v>
      </c>
      <c r="I83" s="85">
        <v>2.9058E-2</v>
      </c>
      <c r="J83" s="85">
        <v>-1.0411E-2</v>
      </c>
      <c r="K83" s="85">
        <v>-7.9399999999999991E-3</v>
      </c>
    </row>
    <row r="84" spans="1:11" ht="15" customHeight="1" x14ac:dyDescent="0.2">
      <c r="A84" s="17">
        <v>45194</v>
      </c>
      <c r="B84" s="85">
        <v>-4.1133000000000003E-2</v>
      </c>
      <c r="C84" s="85">
        <v>-1.0119E-2</v>
      </c>
      <c r="D84" s="85">
        <v>-3.6887000000000003E-2</v>
      </c>
      <c r="E84" s="85">
        <v>-1.4527999999999999E-2</v>
      </c>
      <c r="F84" s="85">
        <v>7.1599999999999997E-3</v>
      </c>
      <c r="G84" s="85">
        <v>-2.6474999999999999E-2</v>
      </c>
      <c r="H84" s="85">
        <v>-7.3940000000000004E-3</v>
      </c>
      <c r="I84" s="85">
        <v>4.7619999999999997E-3</v>
      </c>
      <c r="J84" s="85">
        <v>-3.0699000000000001E-2</v>
      </c>
      <c r="K84" s="85">
        <v>-2.9447000000000001E-2</v>
      </c>
    </row>
    <row r="85" spans="1:11" ht="15" customHeight="1" x14ac:dyDescent="0.2">
      <c r="A85" s="17">
        <v>45195</v>
      </c>
      <c r="B85" s="85">
        <v>0</v>
      </c>
      <c r="C85" s="85">
        <v>1.5862999999999999E-2</v>
      </c>
      <c r="D85" s="85">
        <v>-2.9522E-2</v>
      </c>
      <c r="E85" s="85">
        <v>-4.3870000000000003E-3</v>
      </c>
      <c r="F85" s="85">
        <v>5.9280000000000001E-3</v>
      </c>
      <c r="G85" s="85">
        <v>-8.0520000000000001E-3</v>
      </c>
      <c r="H85" s="85">
        <v>1.3202E-2</v>
      </c>
      <c r="I85" s="85">
        <v>1.6490000000000001E-2</v>
      </c>
      <c r="J85" s="85">
        <v>1.7826000000000002E-2</v>
      </c>
      <c r="K85" s="85">
        <v>3.6059999999999998E-3</v>
      </c>
    </row>
    <row r="86" spans="1:11" ht="15" customHeight="1" x14ac:dyDescent="0.2">
      <c r="A86" s="17">
        <v>45196</v>
      </c>
      <c r="B86" s="85">
        <v>0</v>
      </c>
      <c r="C86" s="85">
        <v>3.2375000000000001E-2</v>
      </c>
      <c r="D86" s="85">
        <v>6.7576999999999998E-2</v>
      </c>
      <c r="E86" s="85">
        <v>-3.2629999999999998E-3</v>
      </c>
      <c r="F86" s="85">
        <v>5.1825000000000003E-2</v>
      </c>
      <c r="G86" s="85">
        <v>5.3660000000000001E-3</v>
      </c>
      <c r="H86" s="85">
        <v>1.4518E-2</v>
      </c>
      <c r="I86" s="85">
        <v>-1.6490000000000001E-2</v>
      </c>
      <c r="J86" s="85">
        <v>8.2109999999999995E-3</v>
      </c>
      <c r="K86" s="85">
        <v>4.8960000000000002E-3</v>
      </c>
    </row>
    <row r="87" spans="1:11" ht="15" customHeight="1" x14ac:dyDescent="0.2">
      <c r="A87" s="17">
        <v>45197</v>
      </c>
      <c r="B87" s="85">
        <v>9.0080000000000004E-3</v>
      </c>
      <c r="C87" s="85">
        <v>-5.1147999999999999E-2</v>
      </c>
      <c r="D87" s="85">
        <v>-8.2019999999999992E-3</v>
      </c>
      <c r="E87" s="85">
        <v>3.2889999999999998E-3</v>
      </c>
      <c r="F87" s="85">
        <v>1.4485E-2</v>
      </c>
      <c r="G87" s="85">
        <v>5.3660000000000001E-3</v>
      </c>
      <c r="H87" s="85">
        <v>9.4699999999999993E-3</v>
      </c>
      <c r="I87" s="85">
        <v>-2.5257000000000002E-2</v>
      </c>
      <c r="J87" s="85">
        <v>4.0073999999999999E-2</v>
      </c>
      <c r="K87" s="85">
        <v>2.1901E-2</v>
      </c>
    </row>
    <row r="88" spans="1:11" ht="15" customHeight="1" x14ac:dyDescent="0.2">
      <c r="A88" s="17">
        <v>45198</v>
      </c>
      <c r="B88" s="85">
        <v>1.8239999999999999E-2</v>
      </c>
      <c r="C88" s="85">
        <v>-5.8529999999999997E-3</v>
      </c>
      <c r="D88" s="85">
        <v>3.5230000000000001E-3</v>
      </c>
      <c r="E88" s="85">
        <v>7.2040000000000003E-3</v>
      </c>
      <c r="F88" s="85">
        <v>-2.8043999999999999E-2</v>
      </c>
      <c r="G88" s="85">
        <v>-5.3660000000000001E-3</v>
      </c>
      <c r="H88" s="85">
        <v>2.9068E-2</v>
      </c>
      <c r="I88" s="85">
        <v>-4.1024999999999999E-2</v>
      </c>
      <c r="J88" s="85">
        <v>-1.9264E-2</v>
      </c>
      <c r="K88" s="85">
        <v>-2.7452000000000001E-2</v>
      </c>
    </row>
    <row r="89" spans="1:11" ht="15" customHeight="1" x14ac:dyDescent="0.2">
      <c r="A89" s="17">
        <v>45201</v>
      </c>
      <c r="B89" s="85">
        <v>-3.7301000000000001E-2</v>
      </c>
      <c r="C89" s="85">
        <v>-6.8255999999999997E-2</v>
      </c>
      <c r="D89" s="85">
        <v>-0.15571499999999999</v>
      </c>
      <c r="E89" s="85">
        <v>-9.4570000000000001E-3</v>
      </c>
      <c r="F89" s="85">
        <v>-2.069E-2</v>
      </c>
      <c r="G89" s="85">
        <v>-1.3513000000000001E-2</v>
      </c>
      <c r="H89" s="85">
        <v>-2.8653999999999999E-2</v>
      </c>
      <c r="I89" s="85">
        <v>-1.6635E-2</v>
      </c>
      <c r="J89" s="85">
        <v>-2.3148999999999999E-2</v>
      </c>
      <c r="K89" s="85">
        <v>-4.0766999999999998E-2</v>
      </c>
    </row>
    <row r="90" spans="1:11" ht="15" customHeight="1" x14ac:dyDescent="0.2">
      <c r="A90" s="17">
        <v>45202</v>
      </c>
      <c r="B90" s="85">
        <v>1.8116E-2</v>
      </c>
      <c r="C90" s="85">
        <v>2.7102999999999999E-2</v>
      </c>
      <c r="D90" s="85">
        <v>3.2348000000000002E-2</v>
      </c>
      <c r="E90" s="85">
        <v>3.9800000000000002E-4</v>
      </c>
      <c r="F90" s="85">
        <v>2.5231E-2</v>
      </c>
      <c r="G90" s="85">
        <v>-1.3727E-2</v>
      </c>
      <c r="H90" s="85">
        <v>1.1969E-2</v>
      </c>
      <c r="I90" s="85">
        <v>-4.3513999999999997E-2</v>
      </c>
      <c r="J90" s="85">
        <v>1.7412E-2</v>
      </c>
      <c r="K90" s="85">
        <v>4.084E-3</v>
      </c>
    </row>
    <row r="91" spans="1:11" ht="15" customHeight="1" x14ac:dyDescent="0.2">
      <c r="A91" s="17">
        <v>45203</v>
      </c>
      <c r="B91" s="85">
        <v>-8.2229999999999994E-3</v>
      </c>
      <c r="C91" s="85">
        <v>1.5913E-2</v>
      </c>
      <c r="D91" s="85">
        <v>-1.6043000000000002E-2</v>
      </c>
      <c r="E91" s="85">
        <v>-1.1501000000000001E-2</v>
      </c>
      <c r="F91" s="85">
        <v>-1.9439999999999999E-2</v>
      </c>
      <c r="G91" s="85">
        <v>-2.2332999999999999E-2</v>
      </c>
      <c r="H91" s="85">
        <v>1.4585000000000001E-2</v>
      </c>
      <c r="I91" s="85">
        <v>2.6596999999999999E-2</v>
      </c>
      <c r="J91" s="85">
        <v>5.7369999999999999E-3</v>
      </c>
      <c r="K91" s="85">
        <v>-2.4063999999999999E-2</v>
      </c>
    </row>
    <row r="92" spans="1:11" ht="15" customHeight="1" x14ac:dyDescent="0.2">
      <c r="A92" s="17">
        <v>45204</v>
      </c>
      <c r="B92" s="85">
        <v>1.5753E-2</v>
      </c>
      <c r="C92" s="85">
        <v>-3.0109999999999998E-3</v>
      </c>
      <c r="D92" s="85">
        <v>8.5212999999999997E-2</v>
      </c>
      <c r="E92" s="85">
        <v>2.3657999999999998E-2</v>
      </c>
      <c r="F92" s="85">
        <v>6.9049999999999997E-3</v>
      </c>
      <c r="G92" s="85">
        <v>5.6080000000000001E-3</v>
      </c>
      <c r="H92" s="85">
        <v>2.3747999999999998E-2</v>
      </c>
      <c r="I92" s="85">
        <v>2.6210000000000001E-3</v>
      </c>
      <c r="J92" s="85">
        <v>-1.2666E-2</v>
      </c>
      <c r="K92" s="85">
        <v>4.7895E-2</v>
      </c>
    </row>
    <row r="93" spans="1:11" ht="15" customHeight="1" x14ac:dyDescent="0.2">
      <c r="A93" s="17">
        <v>45205</v>
      </c>
      <c r="B93" s="85">
        <v>2.3419999999999999E-3</v>
      </c>
      <c r="C93" s="85">
        <v>-4.3938999999999999E-2</v>
      </c>
      <c r="D93" s="85">
        <v>3.4067E-2</v>
      </c>
      <c r="E93" s="85">
        <v>1.1571E-2</v>
      </c>
      <c r="F93" s="85">
        <v>-4.4555999999999998E-2</v>
      </c>
      <c r="G93" s="85">
        <v>0</v>
      </c>
      <c r="H93" s="85">
        <v>-1.0742E-2</v>
      </c>
      <c r="I93" s="85">
        <v>1.6872999999999999E-2</v>
      </c>
      <c r="J93" s="85">
        <v>-2.32E-3</v>
      </c>
      <c r="K93" s="85">
        <v>-1.5037999999999999E-2</v>
      </c>
    </row>
    <row r="94" spans="1:11" ht="15" customHeight="1" x14ac:dyDescent="0.2">
      <c r="A94" s="17">
        <v>45208</v>
      </c>
      <c r="B94" s="85">
        <v>9.4669999999999997E-3</v>
      </c>
      <c r="C94" s="85">
        <v>1.6410000000000001E-2</v>
      </c>
      <c r="D94" s="85">
        <v>1.1891000000000001E-2</v>
      </c>
      <c r="E94" s="85">
        <v>-3.3272000000000003E-2</v>
      </c>
      <c r="F94" s="85">
        <v>5.7091999999999997E-2</v>
      </c>
      <c r="G94" s="85">
        <v>1.1181E-2</v>
      </c>
      <c r="H94" s="85">
        <v>1.1528999999999999E-2</v>
      </c>
      <c r="I94" s="85">
        <v>0</v>
      </c>
      <c r="J94" s="85">
        <v>2.4098000000000001E-2</v>
      </c>
      <c r="K94" s="85">
        <v>1.0717000000000001E-2</v>
      </c>
    </row>
    <row r="95" spans="1:11" ht="15" customHeight="1" x14ac:dyDescent="0.2">
      <c r="A95" s="17">
        <v>45209</v>
      </c>
      <c r="B95" s="85">
        <v>1.7987E-2</v>
      </c>
      <c r="C95" s="85">
        <v>-1.9566E-2</v>
      </c>
      <c r="D95" s="85">
        <v>-6.8486000000000005E-2</v>
      </c>
      <c r="E95" s="85">
        <v>-1.9994000000000001E-2</v>
      </c>
      <c r="F95" s="85">
        <v>1.5730999999999998E-2</v>
      </c>
      <c r="G95" s="85">
        <v>-8.3739999999999995E-3</v>
      </c>
      <c r="H95" s="85">
        <v>2.1770999999999999E-2</v>
      </c>
      <c r="I95" s="85">
        <v>3.8539999999999998E-3</v>
      </c>
      <c r="J95" s="85">
        <v>3.2350999999999998E-2</v>
      </c>
      <c r="K95" s="85">
        <v>8.293E-3</v>
      </c>
    </row>
    <row r="96" spans="1:11" ht="15" customHeight="1" x14ac:dyDescent="0.2">
      <c r="A96" s="17">
        <v>45210</v>
      </c>
      <c r="B96" s="85">
        <v>3.7859999999999999E-3</v>
      </c>
      <c r="C96" s="85">
        <v>-3.9630000000000004E-3</v>
      </c>
      <c r="D96" s="85">
        <v>-1.5306E-2</v>
      </c>
      <c r="E96" s="85">
        <v>-1.3010000000000001E-2</v>
      </c>
      <c r="F96" s="85">
        <v>-6.0902999999999999E-2</v>
      </c>
      <c r="G96" s="85">
        <v>0</v>
      </c>
      <c r="H96" s="85">
        <v>2.9650000000000002E-3</v>
      </c>
      <c r="I96" s="85">
        <v>-2.9930999999999999E-2</v>
      </c>
      <c r="J96" s="85">
        <v>0</v>
      </c>
      <c r="K96" s="85">
        <v>-4.1139000000000002E-2</v>
      </c>
    </row>
    <row r="97" spans="1:11" ht="15" customHeight="1" x14ac:dyDescent="0.2">
      <c r="A97" s="17">
        <v>45211</v>
      </c>
      <c r="B97" s="85">
        <v>-1.9380999999999999E-2</v>
      </c>
      <c r="C97" s="85">
        <v>-2.7352000000000001E-2</v>
      </c>
      <c r="D97" s="85">
        <v>-9.0379999999999992E-3</v>
      </c>
      <c r="E97" s="85">
        <v>-1.54E-2</v>
      </c>
      <c r="F97" s="85">
        <v>3.5479999999999999E-3</v>
      </c>
      <c r="G97" s="85">
        <v>-1.6931000000000002E-2</v>
      </c>
      <c r="H97" s="85">
        <v>-3.2122999999999999E-2</v>
      </c>
      <c r="I97" s="85">
        <v>1.8325000000000001E-2</v>
      </c>
      <c r="J97" s="85">
        <v>-4.8350999999999998E-2</v>
      </c>
      <c r="K97" s="85">
        <v>-3.5742999999999997E-2</v>
      </c>
    </row>
    <row r="98" spans="1:11" ht="15" customHeight="1" x14ac:dyDescent="0.2">
      <c r="A98" s="17">
        <v>45212</v>
      </c>
      <c r="B98" s="85">
        <v>2.1042000000000002E-2</v>
      </c>
      <c r="C98" s="85">
        <v>8.1200000000000005E-3</v>
      </c>
      <c r="D98" s="85">
        <v>4.9346000000000001E-2</v>
      </c>
      <c r="E98" s="85">
        <v>1.4348E-2</v>
      </c>
      <c r="F98" s="85">
        <v>5.8859999999999997E-3</v>
      </c>
      <c r="G98" s="85">
        <v>2.5305999999999999E-2</v>
      </c>
      <c r="H98" s="85">
        <v>1.3851E-2</v>
      </c>
      <c r="I98" s="85">
        <v>-2.6283000000000001E-2</v>
      </c>
      <c r="J98" s="85">
        <v>0.113164</v>
      </c>
      <c r="K98" s="85">
        <v>1.2409E-2</v>
      </c>
    </row>
    <row r="99" spans="1:11" ht="15" customHeight="1" x14ac:dyDescent="0.2">
      <c r="A99" s="17">
        <v>45215</v>
      </c>
      <c r="B99" s="85">
        <v>-8.1810000000000008E-3</v>
      </c>
      <c r="C99" s="85">
        <v>1.1266999999999999E-2</v>
      </c>
      <c r="D99" s="85">
        <v>4.2301999999999999E-2</v>
      </c>
      <c r="E99" s="85">
        <v>-1.4234999999999999E-2</v>
      </c>
      <c r="F99" s="85">
        <v>1.173E-3</v>
      </c>
      <c r="G99" s="85">
        <v>-3.1023999999999999E-2</v>
      </c>
      <c r="H99" s="85">
        <v>-4.7925000000000002E-2</v>
      </c>
      <c r="I99" s="85">
        <v>9.2779999999999998E-3</v>
      </c>
      <c r="J99" s="85">
        <v>-3.091E-3</v>
      </c>
      <c r="K99" s="85">
        <v>2.0576000000000001E-2</v>
      </c>
    </row>
    <row r="100" spans="1:11" ht="15" customHeight="1" x14ac:dyDescent="0.2">
      <c r="A100" s="17">
        <v>45216</v>
      </c>
      <c r="B100" s="85">
        <v>-2.5732999999999999E-2</v>
      </c>
      <c r="C100" s="85">
        <v>-6.6997000000000001E-2</v>
      </c>
      <c r="D100" s="85">
        <v>-8.7764999999999996E-2</v>
      </c>
      <c r="E100" s="85">
        <v>-2.7156E-2</v>
      </c>
      <c r="F100" s="85">
        <v>-7.5462000000000001E-2</v>
      </c>
      <c r="G100" s="85">
        <v>-2.9061E-2</v>
      </c>
      <c r="H100" s="85">
        <v>-4.0454999999999998E-2</v>
      </c>
      <c r="I100" s="85">
        <v>-2.674E-2</v>
      </c>
      <c r="J100" s="85">
        <v>-9.3310000000000008E-3</v>
      </c>
      <c r="K100" s="85">
        <v>-5.2075000000000003E-2</v>
      </c>
    </row>
    <row r="101" spans="1:11" ht="15" customHeight="1" x14ac:dyDescent="0.2">
      <c r="A101" s="17">
        <v>45217</v>
      </c>
      <c r="B101" s="85">
        <v>2.1050000000000001E-3</v>
      </c>
      <c r="C101" s="85">
        <v>-2.5995999999999998E-2</v>
      </c>
      <c r="D101" s="85">
        <v>-3.8839999999999999E-3</v>
      </c>
      <c r="E101" s="85">
        <v>0.148892</v>
      </c>
      <c r="F101" s="85">
        <v>-2.8206999999999999E-2</v>
      </c>
      <c r="G101" s="85">
        <v>-5.4565000000000002E-2</v>
      </c>
      <c r="H101" s="85">
        <v>-2.2529999999999998E-3</v>
      </c>
      <c r="I101" s="85">
        <v>1.354E-3</v>
      </c>
      <c r="J101" s="85">
        <v>5.195E-3</v>
      </c>
      <c r="K101" s="85">
        <v>-3.6400000000000001E-4</v>
      </c>
    </row>
    <row r="102" spans="1:11" ht="15" customHeight="1" x14ac:dyDescent="0.2">
      <c r="A102" s="17">
        <v>45218</v>
      </c>
      <c r="B102" s="85">
        <v>-2.5478000000000001E-2</v>
      </c>
      <c r="C102" s="85">
        <v>-3.2121999999999998E-2</v>
      </c>
      <c r="D102" s="85">
        <v>6.4640000000000001E-3</v>
      </c>
      <c r="E102" s="85">
        <v>-2.0179999999999998E-3</v>
      </c>
      <c r="F102" s="85">
        <v>-1.4408000000000001E-2</v>
      </c>
      <c r="G102" s="85">
        <v>-9.3959999999999998E-3</v>
      </c>
      <c r="H102" s="85">
        <v>-1.7104999999999999E-2</v>
      </c>
      <c r="I102" s="85">
        <v>-3.1618E-2</v>
      </c>
      <c r="J102" s="85">
        <v>-2.2002000000000001E-2</v>
      </c>
      <c r="K102" s="85">
        <v>-1.1709000000000001E-2</v>
      </c>
    </row>
    <row r="103" spans="1:11" ht="15" customHeight="1" x14ac:dyDescent="0.2">
      <c r="A103" s="17">
        <v>45219</v>
      </c>
      <c r="B103" s="85">
        <v>1.1044E-2</v>
      </c>
      <c r="C103" s="85">
        <v>3.124E-2</v>
      </c>
      <c r="D103" s="85">
        <v>0.120071</v>
      </c>
      <c r="E103" s="85">
        <v>1.4558E-2</v>
      </c>
      <c r="F103" s="85">
        <v>1.3179999999999999E-3</v>
      </c>
      <c r="G103" s="85">
        <v>3.8159999999999999E-3</v>
      </c>
      <c r="H103" s="85">
        <v>3.7651999999999998E-2</v>
      </c>
      <c r="I103" s="85">
        <v>-8.4150000000000006E-3</v>
      </c>
      <c r="J103" s="85">
        <v>5.2830000000000004E-3</v>
      </c>
      <c r="K103" s="85">
        <v>-3.0266000000000001E-2</v>
      </c>
    </row>
    <row r="104" spans="1:11" ht="15" customHeight="1" x14ac:dyDescent="0.2">
      <c r="A104" s="17">
        <v>45222</v>
      </c>
      <c r="B104" s="85">
        <v>1.5678999999999998E-2</v>
      </c>
      <c r="C104" s="85">
        <v>6.1339999999999997E-3</v>
      </c>
      <c r="D104" s="85">
        <v>0.109239</v>
      </c>
      <c r="E104" s="85">
        <v>1.6794E-2</v>
      </c>
      <c r="F104" s="85">
        <v>6.3797000000000006E-2</v>
      </c>
      <c r="G104" s="85">
        <v>1.8800000000000001E-2</v>
      </c>
      <c r="H104" s="85">
        <v>1.5882E-2</v>
      </c>
      <c r="I104" s="85">
        <v>-1.1332E-2</v>
      </c>
      <c r="J104" s="85">
        <v>2.2918000000000001E-2</v>
      </c>
      <c r="K104" s="85">
        <v>4.0517999999999998E-2</v>
      </c>
    </row>
    <row r="105" spans="1:11" ht="15" customHeight="1" x14ac:dyDescent="0.2">
      <c r="A105" s="17">
        <v>45223</v>
      </c>
      <c r="B105" s="85">
        <v>-5.7387000000000001E-2</v>
      </c>
      <c r="C105" s="85">
        <v>-1.5848000000000001E-2</v>
      </c>
      <c r="D105" s="85">
        <v>-3.0162999999999999E-2</v>
      </c>
      <c r="E105" s="85">
        <v>-6.012E-3</v>
      </c>
      <c r="F105" s="85">
        <v>-6.2480000000000001E-2</v>
      </c>
      <c r="G105" s="85">
        <v>-3.114E-3</v>
      </c>
      <c r="H105" s="85">
        <v>-4.4108000000000001E-2</v>
      </c>
      <c r="I105" s="85">
        <v>-2.1599E-2</v>
      </c>
      <c r="J105" s="85">
        <v>-5.5039999999999999E-2</v>
      </c>
      <c r="K105" s="85">
        <v>-6.6264000000000003E-2</v>
      </c>
    </row>
    <row r="106" spans="1:11" ht="15" customHeight="1" x14ac:dyDescent="0.2">
      <c r="A106" s="17">
        <v>45224</v>
      </c>
      <c r="B106" s="85">
        <v>-1.5107000000000001E-2</v>
      </c>
      <c r="C106" s="85">
        <v>8.8389999999999996E-3</v>
      </c>
      <c r="D106" s="85">
        <v>-5.2016E-2</v>
      </c>
      <c r="E106" s="85">
        <v>-1.8925999999999998E-2</v>
      </c>
      <c r="F106" s="85">
        <v>3.9399999999999999E-3</v>
      </c>
      <c r="G106" s="85">
        <v>9.3139999999999994E-3</v>
      </c>
      <c r="H106" s="85">
        <v>-3.5397999999999999E-2</v>
      </c>
      <c r="I106" s="85">
        <v>-2.6550000000000001E-2</v>
      </c>
      <c r="J106" s="85">
        <v>1.1898000000000001E-2</v>
      </c>
      <c r="K106" s="85">
        <v>8.1410000000000007E-3</v>
      </c>
    </row>
    <row r="107" spans="1:11" ht="15" customHeight="1" x14ac:dyDescent="0.2">
      <c r="A107" s="17">
        <v>45225</v>
      </c>
      <c r="B107" s="85">
        <v>6.6095000000000001E-2</v>
      </c>
      <c r="C107" s="85">
        <v>-2.1333999999999999E-2</v>
      </c>
      <c r="D107" s="85">
        <v>-1.4566000000000001E-2</v>
      </c>
      <c r="E107" s="85">
        <v>-1.4149999999999999E-2</v>
      </c>
      <c r="F107" s="85">
        <v>-2.5217E-2</v>
      </c>
      <c r="G107" s="85">
        <v>3.0860000000000002E-3</v>
      </c>
      <c r="H107" s="85">
        <v>4.3059999999999999E-3</v>
      </c>
      <c r="I107" s="85">
        <v>-2.1149000000000001E-2</v>
      </c>
      <c r="J107" s="85">
        <v>0</v>
      </c>
      <c r="K107" s="85">
        <v>-1.3997000000000001E-2</v>
      </c>
    </row>
    <row r="108" spans="1:11" ht="15" customHeight="1" x14ac:dyDescent="0.2">
      <c r="A108" s="17">
        <v>45226</v>
      </c>
      <c r="B108" s="85">
        <v>3.8169000000000002E-2</v>
      </c>
      <c r="C108" s="85">
        <v>2.3963999999999999E-2</v>
      </c>
      <c r="D108" s="85">
        <v>-1.129E-3</v>
      </c>
      <c r="E108" s="85">
        <v>3.0227E-2</v>
      </c>
      <c r="F108" s="85">
        <v>1.0695E-2</v>
      </c>
      <c r="G108" s="85">
        <v>1.2215999999999999E-2</v>
      </c>
      <c r="H108" s="85">
        <v>1.6188000000000001E-2</v>
      </c>
      <c r="I108" s="85">
        <v>1.214E-2</v>
      </c>
      <c r="J108" s="85">
        <v>4.2111000000000003E-2</v>
      </c>
      <c r="K108" s="85">
        <v>-1.8175E-2</v>
      </c>
    </row>
    <row r="109" spans="1:11" ht="15" customHeight="1" x14ac:dyDescent="0.2">
      <c r="A109" s="17">
        <v>45229</v>
      </c>
      <c r="B109" s="85">
        <v>2.859E-3</v>
      </c>
      <c r="C109" s="85">
        <v>5.2560000000000003E-3</v>
      </c>
      <c r="D109" s="85">
        <v>-4.5300000000000002E-3</v>
      </c>
      <c r="E109" s="85">
        <v>3.9179999999999996E-3</v>
      </c>
      <c r="F109" s="85">
        <v>-2.9692E-2</v>
      </c>
      <c r="G109" s="85">
        <v>6.0679999999999996E-3</v>
      </c>
      <c r="H109" s="85">
        <v>-9.299E-3</v>
      </c>
      <c r="I109" s="85">
        <v>-1.5089999999999999E-3</v>
      </c>
      <c r="J109" s="85">
        <v>3.1459000000000001E-2</v>
      </c>
      <c r="K109" s="85">
        <v>1.1497E-2</v>
      </c>
    </row>
    <row r="110" spans="1:11" ht="15" customHeight="1" x14ac:dyDescent="0.2">
      <c r="A110" s="17">
        <v>45230</v>
      </c>
      <c r="B110" s="85">
        <v>2.8955000000000002E-2</v>
      </c>
      <c r="C110" s="85">
        <v>-1.4063000000000001E-2</v>
      </c>
      <c r="D110" s="85">
        <v>1.2409E-2</v>
      </c>
      <c r="E110" s="85">
        <v>2.0435999999999999E-2</v>
      </c>
      <c r="F110" s="85">
        <v>2.034E-2</v>
      </c>
      <c r="G110" s="85">
        <v>-2.137E-2</v>
      </c>
      <c r="H110" s="85">
        <v>3.7185999999999997E-2</v>
      </c>
      <c r="I110" s="85">
        <v>4.5209999999999998E-3</v>
      </c>
      <c r="J110" s="85">
        <v>-2E-3</v>
      </c>
      <c r="K110" s="85">
        <v>-1.1497E-2</v>
      </c>
    </row>
    <row r="111" spans="1:11" ht="15" customHeight="1" x14ac:dyDescent="0.2">
      <c r="A111" s="17">
        <v>45231</v>
      </c>
      <c r="B111" s="85">
        <v>7.7799999999999996E-3</v>
      </c>
      <c r="C111" s="85">
        <v>5.1732E-2</v>
      </c>
      <c r="D111" s="85">
        <v>0.10019</v>
      </c>
      <c r="E111" s="85">
        <v>1.0699999999999999E-2</v>
      </c>
      <c r="F111" s="85">
        <v>4.4627E-2</v>
      </c>
      <c r="G111" s="85">
        <v>3.3366E-2</v>
      </c>
      <c r="H111" s="85">
        <v>2.7522000000000001E-2</v>
      </c>
      <c r="I111" s="85">
        <v>3.5453999999999999E-2</v>
      </c>
      <c r="J111" s="85">
        <v>4.3102000000000001E-2</v>
      </c>
      <c r="K111" s="85">
        <v>3.7947000000000002E-2</v>
      </c>
    </row>
    <row r="112" spans="1:11" ht="15" customHeight="1" x14ac:dyDescent="0.2">
      <c r="A112" s="17">
        <v>45232</v>
      </c>
      <c r="B112" s="85">
        <v>3.8310000000000002E-3</v>
      </c>
      <c r="C112" s="85">
        <v>5.3190000000000001E-2</v>
      </c>
      <c r="D112" s="85">
        <v>-4.6712999999999998E-2</v>
      </c>
      <c r="E112" s="85">
        <v>1.7852E-2</v>
      </c>
      <c r="F112" s="85">
        <v>5.4945000000000001E-2</v>
      </c>
      <c r="G112" s="85">
        <v>3.2319000000000001E-2</v>
      </c>
      <c r="H112" s="85">
        <v>3.3874000000000001E-2</v>
      </c>
      <c r="I112" s="85">
        <v>-7.2830000000000004E-3</v>
      </c>
      <c r="J112" s="85">
        <v>2.7425000000000001E-2</v>
      </c>
      <c r="K112" s="85">
        <v>5.9246E-2</v>
      </c>
    </row>
    <row r="113" spans="1:11" ht="15" customHeight="1" x14ac:dyDescent="0.2">
      <c r="A113" s="17">
        <v>45233</v>
      </c>
      <c r="B113" s="85">
        <v>8.1910000000000004E-3</v>
      </c>
      <c r="C113" s="85">
        <v>-2.3380999999999999E-2</v>
      </c>
      <c r="D113" s="85">
        <v>-1.8231000000000001E-2</v>
      </c>
      <c r="E113" s="85">
        <v>5.4900000000000001E-3</v>
      </c>
      <c r="F113" s="85">
        <v>-3.2101999999999999E-2</v>
      </c>
      <c r="G113" s="85">
        <v>-8.7200000000000003E-3</v>
      </c>
      <c r="H113" s="85">
        <v>1.6441000000000001E-2</v>
      </c>
      <c r="I113" s="85">
        <v>-2.8171000000000002E-2</v>
      </c>
      <c r="J113" s="85">
        <v>9.3199999999999999E-4</v>
      </c>
      <c r="K113" s="85">
        <v>-6.8501999999999993E-2</v>
      </c>
    </row>
    <row r="114" spans="1:11" ht="15" customHeight="1" x14ac:dyDescent="0.2">
      <c r="A114" s="17">
        <v>45236</v>
      </c>
      <c r="B114" s="85">
        <v>2.1031000000000001E-2</v>
      </c>
      <c r="C114" s="85">
        <v>2.4174000000000001E-2</v>
      </c>
      <c r="D114" s="85">
        <v>-6.515E-3</v>
      </c>
      <c r="E114" s="85">
        <v>-2.99E-4</v>
      </c>
      <c r="F114" s="85">
        <v>-1.0088E-2</v>
      </c>
      <c r="G114" s="85">
        <v>0</v>
      </c>
      <c r="H114" s="85">
        <v>4.45E-3</v>
      </c>
      <c r="I114" s="85">
        <v>-2.2814999999999998E-2</v>
      </c>
      <c r="J114" s="85">
        <v>2.1208999999999999E-2</v>
      </c>
      <c r="K114" s="85">
        <v>3.764E-2</v>
      </c>
    </row>
    <row r="115" spans="1:11" ht="15" customHeight="1" x14ac:dyDescent="0.2">
      <c r="A115" s="17">
        <v>45237</v>
      </c>
      <c r="B115" s="85">
        <v>-4.424E-3</v>
      </c>
      <c r="C115" s="85">
        <v>1.8142999999999999E-2</v>
      </c>
      <c r="D115" s="85">
        <v>-7.1096000000000006E-2</v>
      </c>
      <c r="E115" s="85">
        <v>4.6829999999999997E-3</v>
      </c>
      <c r="F115" s="85">
        <v>3.7950000000000002E-3</v>
      </c>
      <c r="G115" s="85">
        <v>1.4491E-2</v>
      </c>
      <c r="H115" s="85">
        <v>1.338E-2</v>
      </c>
      <c r="I115" s="85">
        <v>2.5818000000000001E-2</v>
      </c>
      <c r="J115" s="85">
        <v>2.4336E-2</v>
      </c>
      <c r="K115" s="85">
        <v>-2.8000000000000001E-2</v>
      </c>
    </row>
    <row r="116" spans="1:11" ht="15" customHeight="1" x14ac:dyDescent="0.2">
      <c r="A116" s="17">
        <v>45238</v>
      </c>
      <c r="B116" s="85">
        <v>-1.0470999999999999E-2</v>
      </c>
      <c r="C116" s="85">
        <v>-3.8244E-2</v>
      </c>
      <c r="D116" s="85">
        <v>7.6527999999999999E-2</v>
      </c>
      <c r="E116" s="85">
        <v>-3.441E-3</v>
      </c>
      <c r="F116" s="85">
        <v>-5.8495999999999999E-2</v>
      </c>
      <c r="G116" s="85">
        <v>-8.6689999999999996E-3</v>
      </c>
      <c r="H116" s="85">
        <v>8.0400000000000003E-3</v>
      </c>
      <c r="I116" s="85">
        <v>-1.5106E-2</v>
      </c>
      <c r="J116" s="85">
        <v>8.8999999999999995E-4</v>
      </c>
      <c r="K116" s="85">
        <v>-3.1972E-2</v>
      </c>
    </row>
    <row r="117" spans="1:11" ht="15" customHeight="1" x14ac:dyDescent="0.2">
      <c r="A117" s="17">
        <v>45239</v>
      </c>
      <c r="B117" s="85">
        <v>2.0833999999999998E-2</v>
      </c>
      <c r="C117" s="85">
        <v>3.5901000000000002E-2</v>
      </c>
      <c r="D117" s="85">
        <v>4.0344999999999999E-2</v>
      </c>
      <c r="E117" s="85">
        <v>2.7404999999999999E-2</v>
      </c>
      <c r="F117" s="85">
        <v>-3.1274000000000003E-2</v>
      </c>
      <c r="G117" s="85">
        <v>1.1542E-2</v>
      </c>
      <c r="H117" s="85">
        <v>2.9072000000000001E-2</v>
      </c>
      <c r="I117" s="85">
        <v>1.2102999999999999E-2</v>
      </c>
      <c r="J117" s="85">
        <v>7.0920000000000002E-3</v>
      </c>
      <c r="K117" s="85">
        <v>6.7777000000000004E-2</v>
      </c>
    </row>
    <row r="118" spans="1:11" ht="15" customHeight="1" x14ac:dyDescent="0.2">
      <c r="A118" s="17">
        <v>45240</v>
      </c>
      <c r="B118" s="85">
        <v>-6.7799999999999996E-3</v>
      </c>
      <c r="C118" s="85">
        <v>1.5659999999999999E-3</v>
      </c>
      <c r="D118" s="85">
        <v>-4.5776999999999998E-2</v>
      </c>
      <c r="E118" s="85">
        <v>-5.875E-3</v>
      </c>
      <c r="F118" s="85">
        <v>-2.7659999999999998E-3</v>
      </c>
      <c r="G118" s="85">
        <v>-2.8730000000000001E-3</v>
      </c>
      <c r="H118" s="85">
        <v>5.8789999999999997E-3</v>
      </c>
      <c r="I118" s="85">
        <v>-1.668E-2</v>
      </c>
      <c r="J118" s="85">
        <v>-1.768E-3</v>
      </c>
      <c r="K118" s="85">
        <v>4.1695000000000003E-2</v>
      </c>
    </row>
    <row r="119" spans="1:11" ht="15" customHeight="1" x14ac:dyDescent="0.2">
      <c r="A119" s="17">
        <v>45243</v>
      </c>
      <c r="B119" s="85">
        <v>2.2262000000000001E-2</v>
      </c>
      <c r="C119" s="85">
        <v>8.3288000000000001E-2</v>
      </c>
      <c r="D119" s="85">
        <v>-1.09E-3</v>
      </c>
      <c r="E119" s="85">
        <v>9.0229999999999998E-3</v>
      </c>
      <c r="F119" s="85">
        <v>4.8658E-2</v>
      </c>
      <c r="G119" s="85">
        <v>2.5536E-2</v>
      </c>
      <c r="H119" s="85">
        <v>2.1085E-2</v>
      </c>
      <c r="I119" s="85">
        <v>1.5174999999999999E-2</v>
      </c>
      <c r="J119" s="85">
        <v>7.2525999999999993E-2</v>
      </c>
      <c r="K119" s="85">
        <v>3.5581000000000002E-2</v>
      </c>
    </row>
    <row r="120" spans="1:11" ht="15" customHeight="1" x14ac:dyDescent="0.2">
      <c r="A120" s="17">
        <v>45244</v>
      </c>
      <c r="B120" s="85">
        <v>-1.7994E-2</v>
      </c>
      <c r="C120" s="85">
        <v>4.7796999999999999E-2</v>
      </c>
      <c r="D120" s="85">
        <v>0.110364</v>
      </c>
      <c r="E120" s="85">
        <v>2.9191999999999999E-2</v>
      </c>
      <c r="F120" s="85">
        <v>4.6399999999999997E-2</v>
      </c>
      <c r="G120" s="85">
        <v>5.5640000000000004E-3</v>
      </c>
      <c r="H120" s="85">
        <v>-1.5587999999999999E-2</v>
      </c>
      <c r="I120" s="85">
        <v>-1.0598E-2</v>
      </c>
      <c r="J120" s="85">
        <v>4.1070000000000004E-3</v>
      </c>
      <c r="K120" s="85">
        <v>3.4027000000000002E-2</v>
      </c>
    </row>
    <row r="121" spans="1:11" ht="15" customHeight="1" x14ac:dyDescent="0.2">
      <c r="A121" s="17">
        <v>45245</v>
      </c>
      <c r="B121" s="85">
        <v>-2.5869999999999999E-3</v>
      </c>
      <c r="C121" s="85">
        <v>1.6337999999999998E-2</v>
      </c>
      <c r="D121" s="85">
        <v>-4.8009000000000003E-2</v>
      </c>
      <c r="E121" s="85">
        <v>1.0787E-2</v>
      </c>
      <c r="F121" s="85">
        <v>-7.0432999999999996E-2</v>
      </c>
      <c r="G121" s="85">
        <v>-1.4014E-2</v>
      </c>
      <c r="H121" s="85">
        <v>1.2037000000000001E-2</v>
      </c>
      <c r="I121" s="85">
        <v>-5.3136999999999997E-2</v>
      </c>
      <c r="J121" s="85">
        <v>-1.0713E-2</v>
      </c>
      <c r="K121" s="85">
        <v>-4.3668999999999999E-2</v>
      </c>
    </row>
    <row r="122" spans="1:11" ht="15" customHeight="1" x14ac:dyDescent="0.2">
      <c r="A122" s="17">
        <v>45246</v>
      </c>
      <c r="B122" s="85">
        <v>1.6319E-2</v>
      </c>
      <c r="C122" s="85">
        <v>-1.358E-3</v>
      </c>
      <c r="D122" s="85">
        <v>2.4292999999999999E-2</v>
      </c>
      <c r="E122" s="85">
        <v>-2.2300000000000002E-3</v>
      </c>
      <c r="F122" s="85">
        <v>-1.3519999999999999E-3</v>
      </c>
      <c r="G122" s="85">
        <v>5.6410000000000002E-3</v>
      </c>
      <c r="H122" s="85">
        <v>-3.6840000000000002E-3</v>
      </c>
      <c r="I122" s="85">
        <v>4.2425999999999998E-2</v>
      </c>
      <c r="J122" s="85">
        <v>-1.5025E-2</v>
      </c>
      <c r="K122" s="85">
        <v>1.0326999999999999E-2</v>
      </c>
    </row>
    <row r="123" spans="1:11" ht="15" customHeight="1" x14ac:dyDescent="0.2">
      <c r="A123" s="17">
        <v>45247</v>
      </c>
      <c r="B123" s="85">
        <v>6.522E-3</v>
      </c>
      <c r="C123" s="85">
        <v>-1.4981E-2</v>
      </c>
      <c r="D123" s="85">
        <v>6.2035E-2</v>
      </c>
      <c r="E123" s="85">
        <v>1.8206E-2</v>
      </c>
      <c r="F123" s="85">
        <v>5.3996000000000002E-2</v>
      </c>
      <c r="G123" s="85">
        <v>8.3730000000000002E-3</v>
      </c>
      <c r="H123" s="85">
        <v>2.2286E-2</v>
      </c>
      <c r="I123" s="85">
        <v>-1.5504E-2</v>
      </c>
      <c r="J123" s="85">
        <v>2.1631000000000001E-2</v>
      </c>
      <c r="K123" s="85">
        <v>8.1860000000000006E-3</v>
      </c>
    </row>
    <row r="124" spans="1:11" ht="15" customHeight="1" x14ac:dyDescent="0.2">
      <c r="A124" s="17">
        <v>45250</v>
      </c>
      <c r="B124" s="85">
        <v>-1.5377999999999999E-2</v>
      </c>
      <c r="C124" s="85">
        <v>-2.5722999999999999E-2</v>
      </c>
      <c r="D124" s="85">
        <v>-3.1505999999999999E-2</v>
      </c>
      <c r="E124" s="85">
        <v>1.011E-3</v>
      </c>
      <c r="F124" s="85">
        <v>-3.7887999999999998E-2</v>
      </c>
      <c r="G124" s="85">
        <v>-1.6846E-2</v>
      </c>
      <c r="H124" s="85">
        <v>-9.2680000000000002E-3</v>
      </c>
      <c r="I124" s="85">
        <v>-1.8928E-2</v>
      </c>
      <c r="J124" s="85">
        <v>-7.4349999999999998E-3</v>
      </c>
      <c r="K124" s="85">
        <v>-3.5261000000000001E-2</v>
      </c>
    </row>
    <row r="125" spans="1:11" ht="15" customHeight="1" x14ac:dyDescent="0.2">
      <c r="A125" s="17">
        <v>45251</v>
      </c>
      <c r="B125" s="85">
        <v>1.9338999999999999E-2</v>
      </c>
      <c r="C125" s="85">
        <v>1.8832000000000002E-2</v>
      </c>
      <c r="D125" s="85">
        <v>5.7481999999999998E-2</v>
      </c>
      <c r="E125" s="85">
        <v>6.4009999999999996E-3</v>
      </c>
      <c r="F125" s="85">
        <v>-5.3400000000000001E-3</v>
      </c>
      <c r="G125" s="85">
        <v>0</v>
      </c>
      <c r="H125" s="85">
        <v>-2.4893999999999999E-2</v>
      </c>
      <c r="I125" s="85">
        <v>1.591E-3</v>
      </c>
      <c r="J125" s="85">
        <v>2.0518000000000002E-2</v>
      </c>
      <c r="K125" s="85">
        <v>5.9639999999999997E-3</v>
      </c>
    </row>
    <row r="126" spans="1:11" ht="15" customHeight="1" x14ac:dyDescent="0.2">
      <c r="A126" s="17">
        <v>45252</v>
      </c>
      <c r="B126" s="85">
        <v>2.04E-4</v>
      </c>
      <c r="C126" s="85">
        <v>-4.1529999999999996E-3</v>
      </c>
      <c r="D126" s="85">
        <v>4.3894000000000002E-2</v>
      </c>
      <c r="E126" s="85">
        <v>3.258E-3</v>
      </c>
      <c r="F126" s="85">
        <v>-9.4149999999999998E-3</v>
      </c>
      <c r="G126" s="85">
        <v>5.6569999999999997E-3</v>
      </c>
      <c r="H126" s="85">
        <v>-1.9484999999999999E-2</v>
      </c>
      <c r="I126" s="85">
        <v>4.2029999999999998E-2</v>
      </c>
      <c r="J126" s="85">
        <v>1.6914999999999999E-2</v>
      </c>
      <c r="K126" s="85">
        <v>9.0530000000000003E-3</v>
      </c>
    </row>
    <row r="127" spans="1:11" ht="15" customHeight="1" x14ac:dyDescent="0.2">
      <c r="A127" s="17">
        <v>45254</v>
      </c>
      <c r="B127" s="85">
        <v>6.7239999999999999E-3</v>
      </c>
      <c r="C127" s="85">
        <v>1.4466E-2</v>
      </c>
      <c r="D127" s="85">
        <v>-1.1459E-2</v>
      </c>
      <c r="E127" s="85">
        <v>-8.1400000000000005E-4</v>
      </c>
      <c r="F127" s="85">
        <v>-2.8788999999999999E-2</v>
      </c>
      <c r="G127" s="85">
        <v>-2.8249999999999998E-3</v>
      </c>
      <c r="H127" s="85">
        <v>9.7070000000000004E-3</v>
      </c>
      <c r="I127" s="85">
        <v>-3.2536000000000002E-2</v>
      </c>
      <c r="J127" s="85">
        <v>1.2699E-2</v>
      </c>
      <c r="K127" s="85">
        <v>-2.5273E-2</v>
      </c>
    </row>
    <row r="128" spans="1:11" ht="15" customHeight="1" x14ac:dyDescent="0.2">
      <c r="A128" s="17">
        <v>45257</v>
      </c>
      <c r="B128" s="85">
        <v>-4.7499999999999999E-3</v>
      </c>
      <c r="C128" s="85">
        <v>6.87E-4</v>
      </c>
      <c r="D128" s="85">
        <v>9.3050999999999995E-2</v>
      </c>
      <c r="E128" s="85">
        <v>-3.5500000000000001E-4</v>
      </c>
      <c r="F128" s="85">
        <v>2.7780000000000001E-3</v>
      </c>
      <c r="G128" s="85">
        <v>-5.6730000000000001E-3</v>
      </c>
      <c r="H128" s="85">
        <v>-8.7650000000000002E-3</v>
      </c>
      <c r="I128" s="85">
        <v>-7.9050000000000006E-3</v>
      </c>
      <c r="J128" s="85">
        <v>1.2539E-2</v>
      </c>
      <c r="K128" s="85">
        <v>4.3137000000000002E-2</v>
      </c>
    </row>
    <row r="129" spans="1:11" ht="15" customHeight="1" x14ac:dyDescent="0.2">
      <c r="A129" s="17">
        <v>45258</v>
      </c>
      <c r="B129" s="85">
        <v>-4.8409999999999998E-3</v>
      </c>
      <c r="C129" s="85">
        <v>1.8957000000000002E-2</v>
      </c>
      <c r="D129" s="85">
        <v>1.614E-3</v>
      </c>
      <c r="E129" s="85">
        <v>-3.7859999999999999E-3</v>
      </c>
      <c r="F129" s="85">
        <v>-4.1700000000000001E-3</v>
      </c>
      <c r="G129" s="85">
        <v>1.1313999999999999E-2</v>
      </c>
      <c r="H129" s="85">
        <v>6.6490000000000004E-3</v>
      </c>
      <c r="I129" s="85">
        <v>-7.9679999999999994E-3</v>
      </c>
      <c r="J129" s="85">
        <v>1.0843999999999999E-2</v>
      </c>
      <c r="K129" s="85">
        <v>3.3152000000000001E-2</v>
      </c>
    </row>
    <row r="130" spans="1:11" ht="15" customHeight="1" x14ac:dyDescent="0.2">
      <c r="A130" s="17">
        <v>45259</v>
      </c>
      <c r="B130" s="85">
        <v>-1.573E-3</v>
      </c>
      <c r="C130" s="85">
        <v>1.0009000000000001E-2</v>
      </c>
      <c r="D130" s="85">
        <v>-3.5292999999999998E-2</v>
      </c>
      <c r="E130" s="85">
        <v>-6.7710000000000001E-3</v>
      </c>
      <c r="F130" s="85">
        <v>1.2456999999999999E-2</v>
      </c>
      <c r="G130" s="85">
        <v>-2.2727000000000001E-2</v>
      </c>
      <c r="H130" s="85">
        <v>-2.8872999999999999E-2</v>
      </c>
      <c r="I130" s="85">
        <v>1.7447000000000001E-2</v>
      </c>
      <c r="J130" s="85">
        <v>6.343E-2</v>
      </c>
      <c r="K130" s="85">
        <v>-2.8396999999999999E-2</v>
      </c>
    </row>
    <row r="131" spans="1:11" ht="15" customHeight="1" x14ac:dyDescent="0.2">
      <c r="A131" s="17">
        <v>45260</v>
      </c>
      <c r="B131" s="85">
        <v>6.4140000000000004E-3</v>
      </c>
      <c r="C131" s="85">
        <v>4.5434000000000002E-2</v>
      </c>
      <c r="D131" s="85">
        <v>0.134992</v>
      </c>
      <c r="E131" s="85">
        <v>-1.7516E-2</v>
      </c>
      <c r="F131" s="85">
        <v>-1.6643999999999999E-2</v>
      </c>
      <c r="G131" s="85">
        <v>2.8730000000000001E-3</v>
      </c>
      <c r="H131" s="85">
        <v>-1.07E-4</v>
      </c>
      <c r="I131" s="85">
        <v>3.0962E-2</v>
      </c>
      <c r="J131" s="85">
        <v>2.2168E-2</v>
      </c>
      <c r="K131" s="85">
        <v>9.7126000000000004E-2</v>
      </c>
    </row>
    <row r="132" spans="1:11" ht="15" customHeight="1" x14ac:dyDescent="0.2">
      <c r="A132" s="17">
        <v>45261</v>
      </c>
      <c r="B132" s="85">
        <v>-1.5007E-2</v>
      </c>
      <c r="C132" s="85">
        <v>3.6754000000000002E-2</v>
      </c>
      <c r="D132" s="85">
        <v>8.1277000000000002E-2</v>
      </c>
      <c r="E132" s="85">
        <v>-2.5751E-2</v>
      </c>
      <c r="F132" s="85">
        <v>2.3498000000000002E-2</v>
      </c>
      <c r="G132" s="85">
        <v>-9.9329000000000001E-2</v>
      </c>
      <c r="H132" s="85">
        <v>-2.7202E-2</v>
      </c>
      <c r="I132" s="85">
        <v>-2.9391E-2</v>
      </c>
      <c r="J132" s="85">
        <v>1.1252E-2</v>
      </c>
      <c r="K132" s="85">
        <v>3.3769999999999998E-3</v>
      </c>
    </row>
    <row r="133" spans="1:11" ht="15" customHeight="1" x14ac:dyDescent="0.2">
      <c r="A133" s="17">
        <v>45264</v>
      </c>
      <c r="B133" s="85">
        <v>1.3986E-2</v>
      </c>
      <c r="C133" s="85">
        <v>9.1319999999999995E-3</v>
      </c>
      <c r="D133" s="85">
        <v>2.7872000000000001E-2</v>
      </c>
      <c r="E133" s="85">
        <v>2.7499999999999998E-3</v>
      </c>
      <c r="F133" s="85">
        <v>1.4916E-2</v>
      </c>
      <c r="G133" s="85">
        <v>-5.1957000000000003E-2</v>
      </c>
      <c r="H133" s="85">
        <v>2.3026999999999999E-2</v>
      </c>
      <c r="I133" s="85">
        <v>-2.0618999999999998E-2</v>
      </c>
      <c r="J133" s="85">
        <v>2.0761999999999999E-2</v>
      </c>
      <c r="K133" s="85">
        <v>-4.2893000000000001E-2</v>
      </c>
    </row>
    <row r="134" spans="1:11" ht="15" customHeight="1" x14ac:dyDescent="0.2">
      <c r="A134" s="17">
        <v>45265</v>
      </c>
      <c r="B134" s="85">
        <v>-1.6198000000000001E-2</v>
      </c>
      <c r="C134" s="85">
        <v>5.7696999999999998E-2</v>
      </c>
      <c r="D134" s="85">
        <v>1.6872999999999999E-2</v>
      </c>
      <c r="E134" s="85">
        <v>-1.8672999999999999E-2</v>
      </c>
      <c r="F134" s="85">
        <v>4.2167000000000003E-2</v>
      </c>
      <c r="G134" s="85">
        <v>3.297E-3</v>
      </c>
      <c r="H134" s="85">
        <v>-2.3092999999999999E-2</v>
      </c>
      <c r="I134" s="85">
        <v>-8.3520999999999998E-2</v>
      </c>
      <c r="J134" s="85">
        <v>1.1577E-2</v>
      </c>
      <c r="K134" s="85">
        <v>7.6480000000000003E-3</v>
      </c>
    </row>
    <row r="135" spans="1:11" ht="15" customHeight="1" x14ac:dyDescent="0.2">
      <c r="A135" s="17">
        <v>45266</v>
      </c>
      <c r="B135" s="85">
        <v>1.6198000000000001E-2</v>
      </c>
      <c r="C135" s="85">
        <v>2.5416000000000001E-2</v>
      </c>
      <c r="D135" s="85">
        <v>-1.9319999999999999E-3</v>
      </c>
      <c r="E135" s="85">
        <v>1.1728000000000001E-2</v>
      </c>
      <c r="F135" s="85">
        <v>-3.4124000000000002E-2</v>
      </c>
      <c r="G135" s="85">
        <v>2.9465999999999999E-2</v>
      </c>
      <c r="H135" s="85">
        <v>2.3736E-2</v>
      </c>
      <c r="I135" s="85">
        <v>-1.5803999999999999E-2</v>
      </c>
      <c r="J135" s="85">
        <v>-6.7699999999999998E-4</v>
      </c>
      <c r="K135" s="85">
        <v>1.2618000000000001E-2</v>
      </c>
    </row>
    <row r="136" spans="1:11" ht="15" customHeight="1" x14ac:dyDescent="0.2">
      <c r="A136" s="17">
        <v>45267</v>
      </c>
      <c r="B136" s="85">
        <v>3.6700000000000001E-3</v>
      </c>
      <c r="C136" s="85">
        <v>9.9909999999999999E-3</v>
      </c>
      <c r="D136" s="85">
        <v>7.8702999999999995E-2</v>
      </c>
      <c r="E136" s="85">
        <v>3.8860000000000001E-3</v>
      </c>
      <c r="F136" s="85">
        <v>-1.4795000000000001E-2</v>
      </c>
      <c r="G136" s="85">
        <v>2.5478000000000001E-2</v>
      </c>
      <c r="H136" s="85">
        <v>1.9342999999999999E-2</v>
      </c>
      <c r="I136" s="85">
        <v>3.4785999999999997E-2</v>
      </c>
      <c r="J136" s="85">
        <v>2.2110999999999999E-2</v>
      </c>
      <c r="K136" s="85">
        <v>2.4768999999999999E-2</v>
      </c>
    </row>
    <row r="137" spans="1:11" ht="15" customHeight="1" x14ac:dyDescent="0.2">
      <c r="A137" s="17">
        <v>45268</v>
      </c>
      <c r="B137" s="85">
        <v>-1.0433E-2</v>
      </c>
      <c r="C137" s="85">
        <v>-2.6863000000000001E-2</v>
      </c>
      <c r="D137" s="85">
        <v>-0.13574700000000001</v>
      </c>
      <c r="E137" s="85">
        <v>1.3419E-2</v>
      </c>
      <c r="F137" s="85">
        <v>3.9845999999999999E-2</v>
      </c>
      <c r="G137" s="85">
        <v>-1.9039E-2</v>
      </c>
      <c r="H137" s="85">
        <v>-1.8676999999999999E-2</v>
      </c>
      <c r="I137" s="85">
        <v>-6.8609999999999999E-3</v>
      </c>
      <c r="J137" s="85">
        <v>4.2807999999999999E-2</v>
      </c>
      <c r="K137" s="85">
        <v>-9.2169999999999995E-3</v>
      </c>
    </row>
    <row r="138" spans="1:11" ht="15" customHeight="1" x14ac:dyDescent="0.2">
      <c r="A138" s="17">
        <v>45271</v>
      </c>
      <c r="B138" s="85">
        <v>1.0840000000000001E-2</v>
      </c>
      <c r="C138" s="85">
        <v>1.0718E-2</v>
      </c>
      <c r="D138" s="85">
        <v>1.6250000000000001E-2</v>
      </c>
      <c r="E138" s="85">
        <v>6.7400000000000003E-3</v>
      </c>
      <c r="F138" s="85">
        <v>-5.4863000000000002E-2</v>
      </c>
      <c r="G138" s="85">
        <v>3.1556000000000001E-2</v>
      </c>
      <c r="H138" s="85">
        <v>2.1850000000000001E-2</v>
      </c>
      <c r="I138" s="85">
        <v>-1.9113999999999999E-2</v>
      </c>
      <c r="J138" s="85">
        <v>6.3290000000000004E-3</v>
      </c>
      <c r="K138" s="85">
        <v>2.409E-2</v>
      </c>
    </row>
    <row r="139" spans="1:11" ht="15" customHeight="1" x14ac:dyDescent="0.2">
      <c r="A139" s="17">
        <v>45272</v>
      </c>
      <c r="B139" s="85">
        <v>9.1789999999999997E-3</v>
      </c>
      <c r="C139" s="85">
        <v>2.4937000000000001E-2</v>
      </c>
      <c r="D139" s="85">
        <v>0.11830499999999999</v>
      </c>
      <c r="E139" s="85">
        <v>3.6017E-2</v>
      </c>
      <c r="F139" s="85">
        <v>2.1770000000000001E-2</v>
      </c>
      <c r="G139" s="85">
        <v>9.2860000000000009E-3</v>
      </c>
      <c r="H139" s="85">
        <v>9.0019999999999996E-3</v>
      </c>
      <c r="I139" s="85">
        <v>4.4603999999999998E-2</v>
      </c>
      <c r="J139" s="85">
        <v>3.7156000000000002E-2</v>
      </c>
      <c r="K139" s="85">
        <v>6.4181000000000002E-2</v>
      </c>
    </row>
    <row r="140" spans="1:11" ht="15" customHeight="1" x14ac:dyDescent="0.2">
      <c r="A140" s="17">
        <v>45273</v>
      </c>
      <c r="B140" s="85">
        <v>-9.5860000000000008E-3</v>
      </c>
      <c r="C140" s="85">
        <v>2.7535E-2</v>
      </c>
      <c r="D140" s="85">
        <v>6.1325999999999999E-2</v>
      </c>
      <c r="E140" s="85">
        <v>-2.1374000000000001E-2</v>
      </c>
      <c r="F140" s="85">
        <v>5.6260999999999999E-2</v>
      </c>
      <c r="G140" s="85">
        <v>3.6240000000000001E-2</v>
      </c>
      <c r="H140" s="85">
        <v>5.4349999999999997E-3</v>
      </c>
      <c r="I140" s="85">
        <v>3.1382E-2</v>
      </c>
      <c r="J140" s="85">
        <v>2.9352E-2</v>
      </c>
      <c r="K140" s="85">
        <v>7.8497999999999998E-2</v>
      </c>
    </row>
    <row r="141" spans="1:11" ht="15" customHeight="1" x14ac:dyDescent="0.2">
      <c r="A141" s="17">
        <v>45274</v>
      </c>
      <c r="B141" s="85">
        <v>1.7149999999999999E-2</v>
      </c>
      <c r="C141" s="85">
        <v>-9.0919999999999994E-3</v>
      </c>
      <c r="D141" s="85">
        <v>2.6033000000000001E-2</v>
      </c>
      <c r="E141" s="85">
        <v>4.7349999999999996E-3</v>
      </c>
      <c r="F141" s="85">
        <v>1.5152000000000001E-2</v>
      </c>
      <c r="G141" s="85">
        <v>-3.3196999999999997E-2</v>
      </c>
      <c r="H141" s="85">
        <v>1.1105E-2</v>
      </c>
      <c r="I141" s="85">
        <v>-6.5250000000000004E-3</v>
      </c>
      <c r="J141" s="85">
        <v>-1.181E-3</v>
      </c>
      <c r="K141" s="85">
        <v>2.7823000000000001E-2</v>
      </c>
    </row>
    <row r="142" spans="1:11" ht="15" customHeight="1" x14ac:dyDescent="0.2">
      <c r="A142" s="17">
        <v>45275</v>
      </c>
      <c r="B142" s="85">
        <v>2.6971999999999999E-2</v>
      </c>
      <c r="C142" s="85">
        <v>-1.3527000000000001E-2</v>
      </c>
      <c r="D142" s="85">
        <v>8.3360000000000004E-2</v>
      </c>
      <c r="E142" s="85">
        <v>2.9349E-2</v>
      </c>
      <c r="F142" s="85">
        <v>4.5323000000000002E-2</v>
      </c>
      <c r="G142" s="85">
        <v>-9.2239999999999996E-3</v>
      </c>
      <c r="H142" s="85">
        <v>2.3989E-2</v>
      </c>
      <c r="I142" s="85">
        <v>3.2680000000000001E-3</v>
      </c>
      <c r="J142" s="85">
        <v>5.8929999999999998E-3</v>
      </c>
      <c r="K142" s="85">
        <v>-1.271E-3</v>
      </c>
    </row>
    <row r="143" spans="1:11" ht="15" customHeight="1" x14ac:dyDescent="0.2">
      <c r="A143" s="17">
        <v>45278</v>
      </c>
      <c r="B143" s="85">
        <v>-1.8190000000000001E-3</v>
      </c>
      <c r="C143" s="85">
        <v>1.8884000000000001E-2</v>
      </c>
      <c r="D143" s="85">
        <v>9.9963999999999997E-2</v>
      </c>
      <c r="E143" s="85">
        <v>1.8142999999999999E-2</v>
      </c>
      <c r="F143" s="85">
        <v>5.4760000000000003E-2</v>
      </c>
      <c r="G143" s="85">
        <v>2.4465000000000001E-2</v>
      </c>
      <c r="H143" s="85">
        <v>-9.4900000000000002E-3</v>
      </c>
      <c r="I143" s="85">
        <v>1.9387000000000001E-2</v>
      </c>
      <c r="J143" s="85">
        <v>9.3570000000000007E-3</v>
      </c>
      <c r="K143" s="85">
        <v>4.0628999999999998E-2</v>
      </c>
    </row>
    <row r="144" spans="1:11" ht="15" customHeight="1" x14ac:dyDescent="0.2">
      <c r="A144" s="17">
        <v>45279</v>
      </c>
      <c r="B144" s="85">
        <v>-1.0918000000000001E-2</v>
      </c>
      <c r="C144" s="85">
        <v>-3.4802E-2</v>
      </c>
      <c r="D144" s="85">
        <v>5.8999999999999999E-3</v>
      </c>
      <c r="E144" s="85">
        <v>-1.1684E-2</v>
      </c>
      <c r="F144" s="85">
        <v>-0.107631</v>
      </c>
      <c r="G144" s="85">
        <v>-1.8284000000000002E-2</v>
      </c>
      <c r="H144" s="85">
        <v>-3.0561000000000001E-2</v>
      </c>
      <c r="I144" s="85">
        <v>-1.2883E-2</v>
      </c>
      <c r="J144" s="85">
        <v>-3.4342999999999999E-2</v>
      </c>
      <c r="K144" s="85">
        <v>-5.7043000000000003E-2</v>
      </c>
    </row>
    <row r="145" spans="1:11" ht="15" customHeight="1" x14ac:dyDescent="0.2">
      <c r="A145" s="17">
        <v>45280</v>
      </c>
      <c r="B145" s="85">
        <v>1.1243E-2</v>
      </c>
      <c r="C145" s="85">
        <v>6.0134E-2</v>
      </c>
      <c r="D145" s="85">
        <v>0.11445900000000001</v>
      </c>
      <c r="E145" s="85">
        <v>4.7710000000000001E-3</v>
      </c>
      <c r="F145" s="85">
        <v>4.5658999999999998E-2</v>
      </c>
      <c r="G145" s="85">
        <v>9.1680000000000008E-3</v>
      </c>
      <c r="H145" s="85">
        <v>1.8106000000000001E-2</v>
      </c>
      <c r="I145" s="85">
        <v>1.1280999999999999E-2</v>
      </c>
      <c r="J145" s="85">
        <v>3.7248999999999997E-2</v>
      </c>
      <c r="K145" s="85">
        <v>2.6539E-2</v>
      </c>
    </row>
    <row r="146" spans="1:11" ht="15" customHeight="1" x14ac:dyDescent="0.2">
      <c r="A146" s="17">
        <v>45281</v>
      </c>
      <c r="B146" s="85">
        <v>-2.7339999999999999E-3</v>
      </c>
      <c r="C146" s="85">
        <v>-1.3641E-2</v>
      </c>
      <c r="D146" s="85">
        <v>7.5000999999999998E-2</v>
      </c>
      <c r="E146" s="85">
        <v>-9.9150000000000002E-3</v>
      </c>
      <c r="F146" s="85">
        <v>1.5559999999999999E-2</v>
      </c>
      <c r="G146" s="85">
        <v>2.4097E-2</v>
      </c>
      <c r="H146" s="85">
        <v>-3.271E-3</v>
      </c>
      <c r="I146" s="85">
        <v>1.9047999999999999E-2</v>
      </c>
      <c r="J146" s="85">
        <v>-1.0501999999999999E-2</v>
      </c>
      <c r="K146" s="85">
        <v>-1.2671E-2</v>
      </c>
    </row>
    <row r="147" spans="1:11" ht="15" customHeight="1" x14ac:dyDescent="0.2">
      <c r="A147" s="17">
        <v>45282</v>
      </c>
      <c r="B147" s="85">
        <v>-6.4999999999999994E-5</v>
      </c>
      <c r="C147" s="85">
        <v>-1.7047E-2</v>
      </c>
      <c r="D147" s="85">
        <v>9.3159999999999996E-3</v>
      </c>
      <c r="E147" s="85">
        <v>9.0600000000000003E-3</v>
      </c>
      <c r="F147" s="85">
        <v>0.10262499999999999</v>
      </c>
      <c r="G147" s="85">
        <v>-2.9849999999999998E-3</v>
      </c>
      <c r="H147" s="85">
        <v>9.1529999999999997E-3</v>
      </c>
      <c r="I147" s="85">
        <v>5.8032E-2</v>
      </c>
      <c r="J147" s="85">
        <v>-1.5963000000000001E-2</v>
      </c>
      <c r="K147" s="85">
        <v>7.2066000000000005E-2</v>
      </c>
    </row>
    <row r="148" spans="1:11" ht="15" customHeight="1" x14ac:dyDescent="0.2">
      <c r="A148" s="17">
        <v>45286</v>
      </c>
      <c r="B148" s="85">
        <v>-4.5600000000000003E-4</v>
      </c>
      <c r="C148" s="85">
        <v>-3.7699999999999999E-3</v>
      </c>
      <c r="D148" s="85">
        <v>0.14188799999999999</v>
      </c>
      <c r="E148" s="85">
        <v>1.2210000000000001E-3</v>
      </c>
      <c r="F148" s="85">
        <v>-2.4961000000000001E-2</v>
      </c>
      <c r="G148" s="85">
        <v>8.9269999999999992E-3</v>
      </c>
      <c r="H148" s="85">
        <v>2.7959999999999999E-3</v>
      </c>
      <c r="I148" s="85">
        <v>-2.7068999999999999E-2</v>
      </c>
      <c r="J148" s="85">
        <v>1.008E-2</v>
      </c>
      <c r="K148" s="85">
        <v>1.3904E-2</v>
      </c>
    </row>
    <row r="149" spans="1:11" ht="15" customHeight="1" x14ac:dyDescent="0.2">
      <c r="A149" s="17">
        <v>45287</v>
      </c>
      <c r="B149" s="85">
        <v>2.61E-4</v>
      </c>
      <c r="C149" s="85">
        <v>6.9870000000000002E-3</v>
      </c>
      <c r="D149" s="85">
        <v>-0.100117</v>
      </c>
      <c r="E149" s="85">
        <v>-2.6059999999999998E-3</v>
      </c>
      <c r="F149" s="85">
        <v>3.5622000000000001E-2</v>
      </c>
      <c r="G149" s="85">
        <v>-2.967E-3</v>
      </c>
      <c r="H149" s="85">
        <v>2.1220000000000002E-3</v>
      </c>
      <c r="I149" s="85">
        <v>-1.227E-2</v>
      </c>
      <c r="J149" s="85">
        <v>5.8820000000000001E-3</v>
      </c>
      <c r="K149" s="85">
        <v>-1.1709999999999999E-3</v>
      </c>
    </row>
    <row r="150" spans="1:11" ht="15" customHeight="1" x14ac:dyDescent="0.2">
      <c r="A150" s="17">
        <v>45288</v>
      </c>
      <c r="B150" s="85">
        <v>-9.4330000000000004E-3</v>
      </c>
      <c r="C150" s="85">
        <v>-6.9870000000000002E-3</v>
      </c>
      <c r="D150" s="85">
        <v>-0.17955099999999999</v>
      </c>
      <c r="E150" s="85">
        <v>-7.4279999999999997E-3</v>
      </c>
      <c r="F150" s="85">
        <v>-3.8924E-2</v>
      </c>
      <c r="G150" s="85">
        <v>1.4716E-2</v>
      </c>
      <c r="H150" s="85">
        <v>0</v>
      </c>
      <c r="I150" s="85">
        <v>-2.0265999999999999E-2</v>
      </c>
      <c r="J150" s="85">
        <v>-7.0629999999999998E-3</v>
      </c>
      <c r="K150" s="85">
        <v>-4.2845000000000001E-2</v>
      </c>
    </row>
    <row r="151" spans="1:11" ht="15" customHeight="1" x14ac:dyDescent="0.2">
      <c r="A151" s="17">
        <v>45289</v>
      </c>
      <c r="B151" s="85">
        <v>-1.3317000000000001E-2</v>
      </c>
      <c r="C151" s="85">
        <v>-6.9805000000000006E-2</v>
      </c>
      <c r="D151" s="85">
        <v>-2.4129000000000001E-2</v>
      </c>
      <c r="E151" s="85">
        <v>-3.8482000000000002E-2</v>
      </c>
      <c r="F151" s="85">
        <v>-7.4361999999999998E-2</v>
      </c>
      <c r="G151" s="85">
        <v>-2.9009999999999999E-3</v>
      </c>
      <c r="H151" s="85">
        <v>-2.7720999999999999E-2</v>
      </c>
      <c r="I151" s="85">
        <v>-1.5873000000000002E-2</v>
      </c>
      <c r="J151" s="85">
        <v>-4.7787000000000003E-2</v>
      </c>
      <c r="K151" s="85">
        <v>-5.2722999999999999E-2</v>
      </c>
    </row>
    <row r="152" spans="1:11" ht="15" customHeight="1" x14ac:dyDescent="0.2">
      <c r="A152" s="17">
        <v>45293</v>
      </c>
      <c r="B152" s="85">
        <v>-9.7859999999999996E-3</v>
      </c>
      <c r="C152" s="85">
        <v>-5.5896000000000001E-2</v>
      </c>
      <c r="D152" s="85">
        <v>2.1998E-2</v>
      </c>
      <c r="E152" s="85">
        <v>3.7499999999999999E-3</v>
      </c>
      <c r="F152" s="85">
        <v>9.4560000000000009E-3</v>
      </c>
      <c r="G152" s="85">
        <v>-5.8900000000000003E-3</v>
      </c>
      <c r="H152" s="85">
        <v>-1.2515E-2</v>
      </c>
      <c r="I152" s="85">
        <v>-8.0319999999999992E-3</v>
      </c>
      <c r="J152" s="85">
        <v>-2.2557000000000001E-2</v>
      </c>
      <c r="K152" s="85">
        <v>-4.9138000000000001E-2</v>
      </c>
    </row>
    <row r="153" spans="1:11" ht="15" customHeight="1" x14ac:dyDescent="0.2">
      <c r="A153" s="17">
        <v>45294</v>
      </c>
      <c r="B153" s="85">
        <v>-2.6619E-2</v>
      </c>
      <c r="C153" s="85">
        <v>3.0123E-2</v>
      </c>
      <c r="D153" s="85">
        <v>0.113984</v>
      </c>
      <c r="E153" s="85">
        <v>9.3340000000000003E-3</v>
      </c>
      <c r="F153" s="85">
        <v>-2.7432000000000002E-2</v>
      </c>
      <c r="G153" s="85">
        <v>1.7536E-2</v>
      </c>
      <c r="H153" s="85">
        <v>8.9789999999999991E-3</v>
      </c>
      <c r="I153" s="85">
        <v>-2.7802E-2</v>
      </c>
      <c r="J153" s="85">
        <v>2.6268E-2</v>
      </c>
      <c r="K153" s="85">
        <v>3.2439999999999999E-3</v>
      </c>
    </row>
    <row r="154" spans="1:11" ht="15" customHeight="1" x14ac:dyDescent="0.2">
      <c r="A154" s="17">
        <v>45295</v>
      </c>
      <c r="B154" s="85">
        <v>4.6239999999999996E-3</v>
      </c>
      <c r="C154" s="85">
        <v>2.8088999999999999E-2</v>
      </c>
      <c r="D154" s="85">
        <v>-8.5386000000000004E-2</v>
      </c>
      <c r="E154" s="85">
        <v>-1.286E-3</v>
      </c>
      <c r="F154" s="85">
        <v>-2.5721000000000001E-2</v>
      </c>
      <c r="G154" s="85">
        <v>-2.9069999999999999E-3</v>
      </c>
      <c r="H154" s="85">
        <v>2.2637999999999998E-2</v>
      </c>
      <c r="I154" s="85">
        <v>1.8078E-2</v>
      </c>
      <c r="J154" s="85">
        <v>2.1375000000000002E-2</v>
      </c>
      <c r="K154" s="85">
        <v>1.9512000000000002E-2</v>
      </c>
    </row>
    <row r="155" spans="1:11" ht="15" customHeight="1" x14ac:dyDescent="0.2">
      <c r="A155" s="17">
        <v>45296</v>
      </c>
      <c r="B155" s="85">
        <v>2.623E-2</v>
      </c>
      <c r="C155" s="85">
        <v>1.1529999999999999E-3</v>
      </c>
      <c r="D155" s="85">
        <v>7.4286000000000005E-2</v>
      </c>
      <c r="E155" s="85">
        <v>2.2877000000000002E-2</v>
      </c>
      <c r="F155" s="85">
        <v>-1.6261000000000001E-2</v>
      </c>
      <c r="G155" s="85">
        <v>2.8662E-2</v>
      </c>
      <c r="H155" s="85">
        <v>6.2300000000000001E-2</v>
      </c>
      <c r="I155" s="85">
        <v>-3.1433999999999997E-2</v>
      </c>
      <c r="J155" s="85">
        <v>4.4898E-2</v>
      </c>
      <c r="K155" s="85">
        <v>3.1268999999999998E-2</v>
      </c>
    </row>
    <row r="156" spans="1:11" ht="15" customHeight="1" x14ac:dyDescent="0.2">
      <c r="A156" s="17">
        <v>45299</v>
      </c>
      <c r="B156" s="85">
        <v>1.511E-2</v>
      </c>
      <c r="C156" s="85">
        <v>1.7240000000000001E-3</v>
      </c>
      <c r="D156" s="85">
        <v>-9.6690000000000005E-3</v>
      </c>
      <c r="E156" s="85">
        <v>-6.0800000000000003E-3</v>
      </c>
      <c r="F156" s="85">
        <v>-4.7781999999999998E-2</v>
      </c>
      <c r="G156" s="85">
        <v>-1.7086E-2</v>
      </c>
      <c r="H156" s="85">
        <v>1.6832E-2</v>
      </c>
      <c r="I156" s="85">
        <v>-2.0374E-2</v>
      </c>
      <c r="J156" s="85">
        <v>-1.5134E-2</v>
      </c>
      <c r="K156" s="85">
        <v>-8.3146999999999999E-2</v>
      </c>
    </row>
    <row r="157" spans="1:11" ht="15" customHeight="1" x14ac:dyDescent="0.2">
      <c r="A157" s="17">
        <v>45300</v>
      </c>
      <c r="B157" s="85">
        <v>1.5471E-2</v>
      </c>
      <c r="C157" s="85">
        <v>2.2755999999999998E-2</v>
      </c>
      <c r="D157" s="85">
        <v>-3.8939999999999999E-3</v>
      </c>
      <c r="E157" s="85">
        <v>-7.8300000000000002E-3</v>
      </c>
      <c r="F157" s="85">
        <v>-2.0041E-2</v>
      </c>
      <c r="G157" s="85">
        <v>2.8730000000000001E-3</v>
      </c>
      <c r="H157" s="85">
        <v>2.2515E-2</v>
      </c>
      <c r="I157" s="85">
        <v>-2.2551000000000002E-2</v>
      </c>
      <c r="J157" s="85">
        <v>1.8593999999999999E-2</v>
      </c>
      <c r="K157" s="85">
        <v>3.4523999999999999E-2</v>
      </c>
    </row>
    <row r="158" spans="1:11" ht="15" customHeight="1" x14ac:dyDescent="0.2">
      <c r="A158" s="17">
        <v>45301</v>
      </c>
      <c r="B158" s="85">
        <v>9.3880000000000005E-3</v>
      </c>
      <c r="C158" s="85">
        <v>-1.4163E-2</v>
      </c>
      <c r="D158" s="85">
        <v>-0.13470299999999999</v>
      </c>
      <c r="E158" s="85">
        <v>2.8645E-2</v>
      </c>
      <c r="F158" s="85">
        <v>-1.3500000000000001E-3</v>
      </c>
      <c r="G158" s="85">
        <v>2.8340000000000001E-3</v>
      </c>
      <c r="H158" s="85">
        <v>8.6470000000000002E-3</v>
      </c>
      <c r="I158" s="85">
        <v>-1.9487000000000001E-2</v>
      </c>
      <c r="J158" s="85">
        <v>-1.6251000000000002E-2</v>
      </c>
      <c r="K158" s="85">
        <v>-6.4232999999999998E-2</v>
      </c>
    </row>
    <row r="159" spans="1:11" ht="15" customHeight="1" x14ac:dyDescent="0.2">
      <c r="A159" s="17">
        <v>45302</v>
      </c>
      <c r="B159" s="85">
        <v>-3.6150000000000002E-3</v>
      </c>
      <c r="C159" s="85">
        <v>-3.3051999999999998E-2</v>
      </c>
      <c r="D159" s="85">
        <v>-0.16567499999999999</v>
      </c>
      <c r="E159" s="85">
        <v>-1.4200000000000001E-4</v>
      </c>
      <c r="F159" s="85">
        <v>-3.1573999999999998E-2</v>
      </c>
      <c r="G159" s="85">
        <v>5.705E-3</v>
      </c>
      <c r="H159" s="85">
        <v>-2.0439999999999998E-3</v>
      </c>
      <c r="I159" s="85">
        <v>-3.5839999999999999E-3</v>
      </c>
      <c r="J159" s="85">
        <v>-3.9385000000000003E-2</v>
      </c>
      <c r="K159" s="85">
        <v>-6.6270000000000001E-3</v>
      </c>
    </row>
    <row r="160" spans="1:11" ht="15" customHeight="1" x14ac:dyDescent="0.2">
      <c r="A160" s="17">
        <v>45303</v>
      </c>
      <c r="B160" s="85">
        <v>-9.4870000000000006E-3</v>
      </c>
      <c r="C160" s="85">
        <v>4.1139999999999996E-3</v>
      </c>
      <c r="D160" s="85">
        <v>-6.5311999999999995E-2</v>
      </c>
      <c r="E160" s="85">
        <v>-2.2438E-2</v>
      </c>
      <c r="F160" s="85">
        <v>-9.0440999999999994E-2</v>
      </c>
      <c r="G160" s="85">
        <v>-2.849E-3</v>
      </c>
      <c r="H160" s="85">
        <v>3.0103999999999999E-2</v>
      </c>
      <c r="I160" s="85">
        <v>-3.2849999999999997E-2</v>
      </c>
      <c r="J160" s="85">
        <v>-5.5691999999999998E-2</v>
      </c>
      <c r="K160" s="85">
        <v>-1.4267E-2</v>
      </c>
    </row>
    <row r="161" spans="1:11" ht="15" customHeight="1" x14ac:dyDescent="0.2">
      <c r="A161" s="17">
        <v>45307</v>
      </c>
      <c r="B161" s="85">
        <v>-9.5119999999999996E-3</v>
      </c>
      <c r="C161" s="85">
        <v>-1.0031999999999999E-2</v>
      </c>
      <c r="D161" s="85">
        <v>-2.9683000000000001E-2</v>
      </c>
      <c r="E161" s="85">
        <v>-1.8929999999999999E-3</v>
      </c>
      <c r="F161" s="85">
        <v>-3.8914999999999998E-2</v>
      </c>
      <c r="G161" s="85">
        <v>-1.7233999999999999E-2</v>
      </c>
      <c r="H161" s="85">
        <v>-5.8520000000000004E-3</v>
      </c>
      <c r="I161" s="85">
        <v>-1.8727000000000001E-2</v>
      </c>
      <c r="J161" s="85">
        <v>-2.5769999999999999E-3</v>
      </c>
      <c r="K161" s="85">
        <v>-3.3396000000000002E-2</v>
      </c>
    </row>
    <row r="162" spans="1:11" ht="15" customHeight="1" x14ac:dyDescent="0.2">
      <c r="A162" s="17">
        <v>45308</v>
      </c>
      <c r="B162" s="85">
        <v>1.1730000000000001E-2</v>
      </c>
      <c r="C162" s="85">
        <v>2.4608000000000001E-2</v>
      </c>
      <c r="D162" s="85">
        <v>-7.1438000000000001E-2</v>
      </c>
      <c r="E162" s="85">
        <v>1.0314E-2</v>
      </c>
      <c r="F162" s="85">
        <v>-3.1800000000000001E-3</v>
      </c>
      <c r="G162" s="85">
        <v>5.7879999999999997E-3</v>
      </c>
      <c r="H162" s="85">
        <v>1.8627999999999999E-2</v>
      </c>
      <c r="I162" s="85">
        <v>1.5010000000000001E-2</v>
      </c>
      <c r="J162" s="85">
        <v>4.4788000000000001E-2</v>
      </c>
      <c r="K162" s="85">
        <v>-3.3409999999999998E-3</v>
      </c>
    </row>
    <row r="163" spans="1:11" ht="15" customHeight="1" x14ac:dyDescent="0.2">
      <c r="A163" s="17">
        <v>45309</v>
      </c>
      <c r="B163" s="85">
        <v>1.1916E-2</v>
      </c>
      <c r="C163" s="85">
        <v>2.8909999999999999E-3</v>
      </c>
      <c r="D163" s="85">
        <v>3.7269999999999998E-3</v>
      </c>
      <c r="E163" s="85">
        <v>-4.875E-3</v>
      </c>
      <c r="F163" s="85">
        <v>-3.5659999999999997E-2</v>
      </c>
      <c r="G163" s="85">
        <v>-1.1609E-2</v>
      </c>
      <c r="H163" s="85">
        <v>4.0898999999999998E-2</v>
      </c>
      <c r="I163" s="85">
        <v>-5.6020000000000002E-3</v>
      </c>
      <c r="J163" s="85">
        <v>1.2872E-2</v>
      </c>
      <c r="K163" s="85">
        <v>8.1810000000000008E-3</v>
      </c>
    </row>
    <row r="164" spans="1:11" ht="15" customHeight="1" x14ac:dyDescent="0.2">
      <c r="A164" s="17">
        <v>45310</v>
      </c>
      <c r="B164" s="85">
        <v>-3.6120000000000002E-3</v>
      </c>
      <c r="C164" s="85">
        <v>-4.0634000000000003E-2</v>
      </c>
      <c r="D164" s="85">
        <v>2.9323999999999999E-2</v>
      </c>
      <c r="E164" s="85">
        <v>5.6990000000000001E-3</v>
      </c>
      <c r="F164" s="85">
        <v>-1.3289E-2</v>
      </c>
      <c r="G164" s="85">
        <v>-2.3598999999999998E-2</v>
      </c>
      <c r="H164" s="85">
        <v>2.7360000000000002E-3</v>
      </c>
      <c r="I164" s="85">
        <v>1.487E-2</v>
      </c>
      <c r="J164" s="85">
        <v>1.1505E-2</v>
      </c>
      <c r="K164" s="85">
        <v>3.2069E-2</v>
      </c>
    </row>
    <row r="165" spans="1:11" ht="15" customHeight="1" x14ac:dyDescent="0.2">
      <c r="A165" s="17">
        <v>45313</v>
      </c>
      <c r="B165" s="85">
        <v>7.979E-3</v>
      </c>
      <c r="C165" s="85">
        <v>-2.3716000000000001E-2</v>
      </c>
      <c r="D165" s="85">
        <v>-3.0564999999999998E-2</v>
      </c>
      <c r="E165" s="85">
        <v>1.3252999999999999E-2</v>
      </c>
      <c r="F165" s="85">
        <v>3.7740000000000003E-2</v>
      </c>
      <c r="G165" s="85">
        <v>2.9849999999999998E-3</v>
      </c>
      <c r="H165" s="85">
        <v>3.663E-3</v>
      </c>
      <c r="I165" s="85">
        <v>1.2832E-2</v>
      </c>
      <c r="J165" s="85">
        <v>-1.7000999999999999E-2</v>
      </c>
      <c r="K165" s="85">
        <v>1.7520000000000001E-3</v>
      </c>
    </row>
    <row r="166" spans="1:11" ht="15" customHeight="1" x14ac:dyDescent="0.2">
      <c r="A166" s="17">
        <v>45314</v>
      </c>
      <c r="B166" s="85">
        <v>5.4330000000000003E-3</v>
      </c>
      <c r="C166" s="85">
        <v>-1.0515999999999999E-2</v>
      </c>
      <c r="D166" s="85">
        <v>-2.8969000000000002E-2</v>
      </c>
      <c r="E166" s="85">
        <v>0.10168199999999999</v>
      </c>
      <c r="F166" s="85">
        <v>-2.2801999999999999E-2</v>
      </c>
      <c r="G166" s="85">
        <v>1.4789999999999999E-2</v>
      </c>
      <c r="H166" s="85">
        <v>2.4565E-2</v>
      </c>
      <c r="I166" s="85">
        <v>4.4531000000000001E-2</v>
      </c>
      <c r="J166" s="85">
        <v>-6.1300000000000005E-4</v>
      </c>
      <c r="K166" s="85">
        <v>-3.7145999999999998E-2</v>
      </c>
    </row>
    <row r="167" spans="1:11" ht="15" customHeight="1" x14ac:dyDescent="0.2">
      <c r="A167" s="17">
        <v>45315</v>
      </c>
      <c r="B167" s="85">
        <v>5.594E-3</v>
      </c>
      <c r="C167" s="85">
        <v>2.3963999999999999E-2</v>
      </c>
      <c r="D167" s="85">
        <v>3.8851999999999998E-2</v>
      </c>
      <c r="E167" s="85">
        <v>3.0955E-2</v>
      </c>
      <c r="F167" s="85">
        <v>-4.9550000000000002E-3</v>
      </c>
      <c r="G167" s="85">
        <v>0.10828</v>
      </c>
      <c r="H167" s="85">
        <v>4.1479999999999998E-3</v>
      </c>
      <c r="I167" s="85">
        <v>8.6730000000000002E-3</v>
      </c>
      <c r="J167" s="85">
        <v>-1.8400000000000001E-3</v>
      </c>
      <c r="K167" s="85">
        <v>-4.5519999999999996E-3</v>
      </c>
    </row>
    <row r="168" spans="1:11" ht="15" customHeight="1" x14ac:dyDescent="0.2">
      <c r="A168" s="17">
        <v>45316</v>
      </c>
      <c r="B168" s="85">
        <v>8.6470000000000002E-3</v>
      </c>
      <c r="C168" s="85">
        <v>-3.9629999999999999E-2</v>
      </c>
      <c r="D168" s="85">
        <v>9.2680999999999999E-2</v>
      </c>
      <c r="E168" s="85">
        <v>1.4871000000000001E-2</v>
      </c>
      <c r="F168" s="85">
        <v>1.6421000000000002E-2</v>
      </c>
      <c r="G168" s="85">
        <v>5.2560000000000003E-3</v>
      </c>
      <c r="H168" s="85">
        <v>-9.5569999999999995E-3</v>
      </c>
      <c r="I168" s="85">
        <v>-1.3913E-2</v>
      </c>
      <c r="J168" s="85">
        <v>-2.4589999999999998E-3</v>
      </c>
      <c r="K168" s="85">
        <v>6.9709999999999998E-3</v>
      </c>
    </row>
    <row r="169" spans="1:11" ht="15" customHeight="1" x14ac:dyDescent="0.2">
      <c r="A169" s="17">
        <v>45317</v>
      </c>
      <c r="B169" s="85">
        <v>1.3358999999999999E-2</v>
      </c>
      <c r="C169" s="85">
        <v>4.4474E-2</v>
      </c>
      <c r="D169" s="85">
        <v>3.6847999999999999E-2</v>
      </c>
      <c r="E169" s="85">
        <v>9.3699999999999999E-3</v>
      </c>
      <c r="F169" s="85">
        <v>0</v>
      </c>
      <c r="G169" s="85">
        <v>1.6236E-2</v>
      </c>
      <c r="H169" s="85">
        <v>2.3224000000000002E-2</v>
      </c>
      <c r="I169" s="85">
        <v>1.0453E-2</v>
      </c>
      <c r="J169" s="85">
        <v>3.8628999999999997E-2</v>
      </c>
      <c r="K169" s="85">
        <v>4.4018000000000002E-2</v>
      </c>
    </row>
    <row r="170" spans="1:11" ht="15" customHeight="1" x14ac:dyDescent="0.2">
      <c r="A170" s="17">
        <v>45320</v>
      </c>
      <c r="B170" s="85">
        <v>-1.4114E-2</v>
      </c>
      <c r="C170" s="85">
        <v>-4.8440000000000002E-3</v>
      </c>
      <c r="D170" s="85">
        <v>-2.2387000000000001E-2</v>
      </c>
      <c r="E170" s="85">
        <v>-2.273E-2</v>
      </c>
      <c r="F170" s="85">
        <v>-5.8692000000000001E-2</v>
      </c>
      <c r="G170" s="85">
        <v>-4.5177000000000002E-2</v>
      </c>
      <c r="H170" s="85">
        <v>4.934E-3</v>
      </c>
      <c r="I170" s="85">
        <v>1.732E-3</v>
      </c>
      <c r="J170" s="85">
        <v>-2.5180999999999999E-2</v>
      </c>
      <c r="K170" s="85">
        <v>-3.2009999999999997E-2</v>
      </c>
    </row>
    <row r="171" spans="1:11" ht="15" customHeight="1" x14ac:dyDescent="0.2">
      <c r="A171" s="17">
        <v>45321</v>
      </c>
      <c r="B171" s="85">
        <v>-2.419E-2</v>
      </c>
      <c r="C171" s="85">
        <v>6.6569999999999997E-3</v>
      </c>
      <c r="D171" s="85">
        <v>-2.1205999999999999E-2</v>
      </c>
      <c r="E171" s="85">
        <v>2.2360000000000001E-3</v>
      </c>
      <c r="F171" s="85">
        <v>-2.9801000000000001E-2</v>
      </c>
      <c r="G171" s="85">
        <v>-2.1968000000000001E-2</v>
      </c>
      <c r="H171" s="85">
        <v>-2.0063999999999999E-2</v>
      </c>
      <c r="I171" s="85">
        <v>-5.6954999999999999E-2</v>
      </c>
      <c r="J171" s="85">
        <v>-3.5851000000000001E-2</v>
      </c>
      <c r="K171" s="85">
        <v>-3.3685E-2</v>
      </c>
    </row>
    <row r="172" spans="1:11" ht="15" customHeight="1" x14ac:dyDescent="0.2">
      <c r="A172" s="17">
        <v>45322</v>
      </c>
      <c r="B172" s="85">
        <v>2.5949E-2</v>
      </c>
      <c r="C172" s="85">
        <v>1.3181999999999999E-2</v>
      </c>
      <c r="D172" s="85">
        <v>4.7903000000000001E-2</v>
      </c>
      <c r="E172" s="85">
        <v>6.0089999999999996E-3</v>
      </c>
      <c r="F172" s="85">
        <v>1.5886999999999998E-2</v>
      </c>
      <c r="G172" s="85">
        <v>-2.7910000000000001E-3</v>
      </c>
      <c r="H172" s="85">
        <v>2.4087000000000001E-2</v>
      </c>
      <c r="I172" s="85">
        <v>-2.0351999999999999E-2</v>
      </c>
      <c r="J172" s="85">
        <v>-1.2589999999999999E-3</v>
      </c>
      <c r="K172" s="85">
        <v>-1.336E-2</v>
      </c>
    </row>
    <row r="173" spans="1:11" ht="15" customHeight="1" x14ac:dyDescent="0.2">
      <c r="A173" s="17">
        <v>45323</v>
      </c>
      <c r="B173" s="85">
        <v>7.5726000000000002E-2</v>
      </c>
      <c r="C173" s="85">
        <v>-2.1659000000000001E-2</v>
      </c>
      <c r="D173" s="85">
        <v>-2.1739999999999999E-2</v>
      </c>
      <c r="E173" s="85">
        <v>-5.0699999999999999E-3</v>
      </c>
      <c r="F173" s="85">
        <v>-3.0224999999999998E-2</v>
      </c>
      <c r="G173" s="85">
        <v>-1.1214E-2</v>
      </c>
      <c r="H173" s="85">
        <v>4.8513000000000001E-2</v>
      </c>
      <c r="I173" s="85">
        <v>-4.0043000000000002E-2</v>
      </c>
      <c r="J173" s="85">
        <v>7.1720000000000006E-2</v>
      </c>
      <c r="K173" s="85">
        <v>2.6849000000000001E-2</v>
      </c>
    </row>
    <row r="174" spans="1:11" ht="15" customHeight="1" x14ac:dyDescent="0.2">
      <c r="A174" s="17">
        <v>45324</v>
      </c>
      <c r="B174" s="85">
        <v>-8.7690000000000008E-3</v>
      </c>
      <c r="C174" s="85">
        <v>-3.7810999999999997E-2</v>
      </c>
      <c r="D174" s="85">
        <v>-8.9611999999999997E-2</v>
      </c>
      <c r="E174" s="85">
        <v>-4.5799999999999999E-3</v>
      </c>
      <c r="F174" s="85">
        <v>-2.9305999999999999E-2</v>
      </c>
      <c r="G174" s="85">
        <v>2.823E-3</v>
      </c>
      <c r="H174" s="85">
        <v>4.6829999999999997E-2</v>
      </c>
      <c r="I174" s="85">
        <v>-3.1622999999999998E-2</v>
      </c>
      <c r="J174" s="85">
        <v>-1.7752E-2</v>
      </c>
      <c r="K174" s="85">
        <v>-4.2930000000000003E-2</v>
      </c>
    </row>
    <row r="175" spans="1:11" ht="15" customHeight="1" x14ac:dyDescent="0.2">
      <c r="A175" s="17">
        <v>45327</v>
      </c>
      <c r="B175" s="85">
        <v>-6.8339999999999998E-3</v>
      </c>
      <c r="C175" s="85">
        <v>8.8020000000000008E-3</v>
      </c>
      <c r="D175" s="85">
        <v>2.4927000000000001E-2</v>
      </c>
      <c r="E175" s="85">
        <v>-1.1056E-2</v>
      </c>
      <c r="F175" s="85">
        <v>0.11405899999999999</v>
      </c>
      <c r="G175" s="85">
        <v>0</v>
      </c>
      <c r="H175" s="85">
        <v>-1.6123999999999999E-2</v>
      </c>
      <c r="I175" s="85">
        <v>1.1976000000000001E-2</v>
      </c>
      <c r="J175" s="85">
        <v>4.0940999999999998E-2</v>
      </c>
      <c r="K175" s="85">
        <v>1.8579999999999999E-2</v>
      </c>
    </row>
    <row r="176" spans="1:11" ht="15" customHeight="1" x14ac:dyDescent="0.2">
      <c r="A176" s="17">
        <v>45328</v>
      </c>
      <c r="B176" s="85">
        <v>8.1250000000000003E-3</v>
      </c>
      <c r="C176" s="85">
        <v>-1.5775000000000001E-2</v>
      </c>
      <c r="D176" s="85">
        <v>2.7747000000000001E-2</v>
      </c>
      <c r="E176" s="85">
        <v>6.1339999999999997E-3</v>
      </c>
      <c r="F176" s="85">
        <v>-2.8597000000000001E-2</v>
      </c>
      <c r="G176" s="85">
        <v>-2.823E-3</v>
      </c>
      <c r="H176" s="85">
        <v>2.7126999999999998E-2</v>
      </c>
      <c r="I176" s="85">
        <v>-1.3986E-2</v>
      </c>
      <c r="J176" s="85">
        <v>-0.42484899999999998</v>
      </c>
      <c r="K176" s="85">
        <v>1.4558E-2</v>
      </c>
    </row>
    <row r="177" spans="1:11" ht="15" customHeight="1" x14ac:dyDescent="0.2">
      <c r="A177" s="17">
        <v>45329</v>
      </c>
      <c r="B177" s="85">
        <v>-4.0540000000000003E-3</v>
      </c>
      <c r="C177" s="85">
        <v>-1.913E-3</v>
      </c>
      <c r="D177" s="85">
        <v>0.207283</v>
      </c>
      <c r="E177" s="85">
        <v>-1.3780000000000001E-3</v>
      </c>
      <c r="F177" s="85">
        <v>-6.8490000000000001E-3</v>
      </c>
      <c r="G177" s="85">
        <v>3.5972999999999998E-2</v>
      </c>
      <c r="H177" s="85">
        <v>-6.5560000000000002E-3</v>
      </c>
      <c r="I177" s="85">
        <v>5.0991000000000002E-2</v>
      </c>
      <c r="J177" s="85">
        <v>-2.7545E-2</v>
      </c>
      <c r="K177" s="85">
        <v>2.7E-2</v>
      </c>
    </row>
    <row r="178" spans="1:11" ht="15" customHeight="1" x14ac:dyDescent="0.2">
      <c r="A178" s="17">
        <v>45330</v>
      </c>
      <c r="B178" s="85">
        <v>2.6780999999999999E-2</v>
      </c>
      <c r="C178" s="85">
        <v>-2.4514000000000001E-2</v>
      </c>
      <c r="D178" s="85">
        <v>0.10169300000000001</v>
      </c>
      <c r="E178" s="85">
        <v>4.9829999999999996E-3</v>
      </c>
      <c r="F178" s="85">
        <v>1.8724000000000001E-2</v>
      </c>
      <c r="G178" s="85">
        <v>-2.4759E-2</v>
      </c>
      <c r="H178" s="85">
        <v>3.5159999999999997E-2</v>
      </c>
      <c r="I178" s="85">
        <v>-1.5415E-2</v>
      </c>
      <c r="J178" s="85">
        <v>8.9999999999999998E-4</v>
      </c>
      <c r="K178" s="85">
        <v>1.2197E-2</v>
      </c>
    </row>
    <row r="179" spans="1:11" ht="15" customHeight="1" x14ac:dyDescent="0.2">
      <c r="A179" s="17">
        <v>45331</v>
      </c>
      <c r="B179" s="85">
        <v>-1.2168999999999999E-2</v>
      </c>
      <c r="C179" s="85">
        <v>1.1684E-2</v>
      </c>
      <c r="D179" s="85">
        <v>0.13269400000000001</v>
      </c>
      <c r="E179" s="85">
        <v>-6.2009999999999999E-3</v>
      </c>
      <c r="F179" s="85">
        <v>2.4979999999999999E-2</v>
      </c>
      <c r="G179" s="85">
        <v>8.3210000000000003E-3</v>
      </c>
      <c r="H179" s="85">
        <v>1.593E-3</v>
      </c>
      <c r="I179" s="85">
        <v>3.4354999999999997E-2</v>
      </c>
      <c r="J179" s="85">
        <v>4.6601999999999998E-2</v>
      </c>
      <c r="K179" s="85">
        <v>8.2450000000000006E-3</v>
      </c>
    </row>
    <row r="180" spans="1:11" ht="15" customHeight="1" x14ac:dyDescent="0.2">
      <c r="A180" s="17">
        <v>45334</v>
      </c>
      <c r="B180" s="85">
        <v>-2.1703E-2</v>
      </c>
      <c r="C180" s="85">
        <v>-2.4176E-2</v>
      </c>
      <c r="D180" s="85">
        <v>-5.8885E-2</v>
      </c>
      <c r="E180" s="85">
        <v>-5.9870000000000001E-3</v>
      </c>
      <c r="F180" s="85">
        <v>-6.4538999999999999E-2</v>
      </c>
      <c r="G180" s="85">
        <v>-3.6581000000000002E-2</v>
      </c>
      <c r="H180" s="85">
        <v>-1.663E-3</v>
      </c>
      <c r="I180" s="85">
        <v>-3.0478999999999999E-2</v>
      </c>
      <c r="J180" s="85">
        <v>-4.3905E-2</v>
      </c>
      <c r="K180" s="85">
        <v>-2.9461999999999999E-2</v>
      </c>
    </row>
    <row r="181" spans="1:11" ht="15" customHeight="1" x14ac:dyDescent="0.2">
      <c r="A181" s="17">
        <v>45335</v>
      </c>
      <c r="B181" s="85">
        <v>1.3780000000000001E-2</v>
      </c>
      <c r="C181" s="85">
        <v>9.8709999999999996E-3</v>
      </c>
      <c r="D181" s="85">
        <v>0.13406599999999999</v>
      </c>
      <c r="E181" s="85">
        <v>4.3769000000000002E-2</v>
      </c>
      <c r="F181" s="85">
        <v>5.1292999999999998E-2</v>
      </c>
      <c r="G181" s="85">
        <v>8.5590000000000006E-3</v>
      </c>
      <c r="H181" s="85">
        <v>2.4271999999999998E-2</v>
      </c>
      <c r="I181" s="85">
        <v>0</v>
      </c>
      <c r="J181" s="85">
        <v>2.3071000000000001E-2</v>
      </c>
      <c r="K181" s="85">
        <v>5.2937999999999999E-2</v>
      </c>
    </row>
    <row r="182" spans="1:11" ht="15" customHeight="1" x14ac:dyDescent="0.2">
      <c r="A182" s="17">
        <v>45336</v>
      </c>
      <c r="B182" s="85">
        <v>-6.9249999999999997E-3</v>
      </c>
      <c r="C182" s="85">
        <v>-3.2750000000000001E-3</v>
      </c>
      <c r="D182" s="85">
        <v>-8.4756999999999999E-2</v>
      </c>
      <c r="E182" s="85">
        <v>2.4098000000000001E-2</v>
      </c>
      <c r="F182" s="85">
        <v>1.4888999999999999E-2</v>
      </c>
      <c r="G182" s="85">
        <v>-2.8249999999999998E-3</v>
      </c>
      <c r="H182" s="85">
        <v>-1.695E-2</v>
      </c>
      <c r="I182" s="85">
        <v>-2.7453000000000002E-2</v>
      </c>
      <c r="J182" s="85">
        <v>1.7392000000000001E-2</v>
      </c>
      <c r="K182" s="85">
        <v>3.1459999999999999E-3</v>
      </c>
    </row>
    <row r="183" spans="1:11" ht="15" customHeight="1" x14ac:dyDescent="0.2">
      <c r="A183" s="17">
        <v>45337</v>
      </c>
      <c r="B183" s="85">
        <v>-1.709E-3</v>
      </c>
      <c r="C183" s="85">
        <v>-2.7984999999999999E-2</v>
      </c>
      <c r="D183" s="85">
        <v>-2.9650000000000002E-3</v>
      </c>
      <c r="E183" s="85">
        <v>-1.6154000000000002E-2</v>
      </c>
      <c r="F183" s="85">
        <v>8.1770000000000002E-3</v>
      </c>
      <c r="G183" s="85">
        <v>1.1311E-2</v>
      </c>
      <c r="H183" s="85">
        <v>-6.2E-4</v>
      </c>
      <c r="I183" s="85">
        <v>-2.8228E-2</v>
      </c>
      <c r="J183" s="85">
        <v>-3.7773000000000001E-2</v>
      </c>
      <c r="K183" s="85">
        <v>-3.2503999999999998E-2</v>
      </c>
    </row>
    <row r="184" spans="1:11" ht="15" customHeight="1" x14ac:dyDescent="0.2">
      <c r="A184" s="17">
        <v>45338</v>
      </c>
      <c r="B184" s="85">
        <v>-1.4439E-2</v>
      </c>
      <c r="C184" s="85">
        <v>-2.7049999999999999E-3</v>
      </c>
      <c r="D184" s="85">
        <v>-9.4531000000000004E-2</v>
      </c>
      <c r="E184" s="85">
        <v>-1.5219E-2</v>
      </c>
      <c r="F184" s="85">
        <v>-2.9753999999999999E-2</v>
      </c>
      <c r="G184" s="85">
        <v>-1.7045000000000001E-2</v>
      </c>
      <c r="H184" s="85">
        <v>-4.4506999999999998E-2</v>
      </c>
      <c r="I184" s="85">
        <v>-4.6032999999999998E-2</v>
      </c>
      <c r="J184" s="85">
        <v>-1.9892E-2</v>
      </c>
      <c r="K184" s="85">
        <v>-5.7054000000000001E-2</v>
      </c>
    </row>
    <row r="185" spans="1:11" ht="15" customHeight="1" x14ac:dyDescent="0.2">
      <c r="A185" s="17">
        <v>45342</v>
      </c>
      <c r="B185" s="85">
        <v>8.9969999999999998E-3</v>
      </c>
      <c r="C185" s="85">
        <v>-3.395E-3</v>
      </c>
      <c r="D185" s="85">
        <v>-6.7944000000000004E-2</v>
      </c>
      <c r="E185" s="85">
        <v>-3.0999999999999999E-3</v>
      </c>
      <c r="F185" s="85">
        <v>1.676E-3</v>
      </c>
      <c r="G185" s="85">
        <v>1.1405999999999999E-2</v>
      </c>
      <c r="H185" s="85">
        <v>-2.8923000000000001E-2</v>
      </c>
      <c r="I185" s="85">
        <v>3.9878999999999998E-2</v>
      </c>
      <c r="J185" s="85">
        <v>-1.9363999999999999E-2</v>
      </c>
      <c r="K185" s="85">
        <v>-3.7872000000000003E-2</v>
      </c>
    </row>
    <row r="186" spans="1:11" ht="15" customHeight="1" x14ac:dyDescent="0.2">
      <c r="A186" s="17">
        <v>45343</v>
      </c>
      <c r="B186" s="85">
        <v>3.4913E-2</v>
      </c>
      <c r="C186" s="85">
        <v>3.3425999999999997E-2</v>
      </c>
      <c r="D186" s="85">
        <v>6.9982000000000003E-2</v>
      </c>
      <c r="E186" s="85">
        <v>2.6030000000000001E-2</v>
      </c>
      <c r="F186" s="85">
        <v>-2.0305E-2</v>
      </c>
      <c r="G186" s="85">
        <v>1.4054000000000001E-2</v>
      </c>
      <c r="H186" s="85">
        <v>0.151869</v>
      </c>
      <c r="I186" s="85">
        <v>-8.2649999999999998E-3</v>
      </c>
      <c r="J186" s="85">
        <v>-9.3199999999999999E-4</v>
      </c>
      <c r="K186" s="85">
        <v>6.1440000000000002E-3</v>
      </c>
    </row>
    <row r="187" spans="1:11" ht="15" customHeight="1" x14ac:dyDescent="0.2">
      <c r="A187" s="17">
        <v>45344</v>
      </c>
      <c r="B187" s="85">
        <v>2.346E-3</v>
      </c>
      <c r="C187" s="85">
        <v>1.3140000000000001E-3</v>
      </c>
      <c r="D187" s="85">
        <v>-2.3481999999999999E-2</v>
      </c>
      <c r="E187" s="85">
        <v>-8.3789999999999993E-3</v>
      </c>
      <c r="F187" s="85">
        <v>-8.0043000000000003E-2</v>
      </c>
      <c r="G187" s="85">
        <v>-1.1216E-2</v>
      </c>
      <c r="H187" s="85">
        <v>3.5469999999999998E-3</v>
      </c>
      <c r="I187" s="85">
        <v>-3.1614999999999997E-2</v>
      </c>
      <c r="J187" s="85">
        <v>6.5030000000000001E-3</v>
      </c>
      <c r="K187" s="85">
        <v>7.7070000000000003E-3</v>
      </c>
    </row>
    <row r="188" spans="1:11" ht="15" customHeight="1" x14ac:dyDescent="0.2">
      <c r="A188" s="17">
        <v>45345</v>
      </c>
      <c r="B188" s="85">
        <v>-1.487E-3</v>
      </c>
      <c r="C188" s="85">
        <v>-2.9989999999999999E-2</v>
      </c>
      <c r="D188" s="85">
        <v>0.196189</v>
      </c>
      <c r="E188" s="85">
        <v>6.9839999999999998E-3</v>
      </c>
      <c r="F188" s="85">
        <v>4.5256999999999999E-2</v>
      </c>
      <c r="G188" s="85">
        <v>-2.8389999999999999E-3</v>
      </c>
      <c r="H188" s="85">
        <v>3.483E-3</v>
      </c>
      <c r="I188" s="85">
        <v>1.6986000000000001E-2</v>
      </c>
      <c r="J188" s="85">
        <v>-7.4349999999999998E-3</v>
      </c>
      <c r="K188" s="85">
        <v>5.5379999999999999E-2</v>
      </c>
    </row>
    <row r="189" spans="1:11" ht="15" customHeight="1" x14ac:dyDescent="0.2">
      <c r="A189" s="17">
        <v>45348</v>
      </c>
      <c r="B189" s="85">
        <v>-6.8339999999999998E-3</v>
      </c>
      <c r="C189" s="85">
        <v>7.3673000000000002E-2</v>
      </c>
      <c r="D189" s="85">
        <v>3.7651999999999998E-2</v>
      </c>
      <c r="E189" s="85">
        <v>2.3578000000000002E-2</v>
      </c>
      <c r="F189" s="85">
        <v>2.2748000000000001E-2</v>
      </c>
      <c r="G189" s="85">
        <v>1.1277000000000001E-2</v>
      </c>
      <c r="H189" s="85">
        <v>-4.9560000000000003E-3</v>
      </c>
      <c r="I189" s="85">
        <v>1.6702000000000002E-2</v>
      </c>
      <c r="J189" s="85">
        <v>1.6652E-2</v>
      </c>
      <c r="K189" s="85">
        <v>-6.3087000000000004E-2</v>
      </c>
    </row>
    <row r="190" spans="1:11" ht="15" customHeight="1" x14ac:dyDescent="0.2">
      <c r="A190" s="17">
        <v>45349</v>
      </c>
      <c r="B190" s="85">
        <v>-2.1919999999999999E-3</v>
      </c>
      <c r="C190" s="85">
        <v>-2.8046999999999999E-2</v>
      </c>
      <c r="D190" s="85">
        <v>2.3477000000000001E-2</v>
      </c>
      <c r="E190" s="85">
        <v>-8.6630000000000006E-3</v>
      </c>
      <c r="F190" s="85">
        <v>-6.2465E-2</v>
      </c>
      <c r="G190" s="85">
        <v>-2.8149999999999998E-3</v>
      </c>
      <c r="H190" s="85">
        <v>-1.3276E-2</v>
      </c>
      <c r="I190" s="85">
        <v>-1.0406E-2</v>
      </c>
      <c r="J190" s="85">
        <v>9.1319999999999995E-3</v>
      </c>
      <c r="K190" s="85">
        <v>-5.7386E-2</v>
      </c>
    </row>
    <row r="191" spans="1:11" ht="15" customHeight="1" x14ac:dyDescent="0.2">
      <c r="A191" s="17">
        <v>45350</v>
      </c>
      <c r="B191" s="85">
        <v>2.0577000000000002E-2</v>
      </c>
      <c r="C191" s="85">
        <v>2.4896999999999999E-2</v>
      </c>
      <c r="D191" s="85">
        <v>-0.18071200000000001</v>
      </c>
      <c r="E191" s="85">
        <v>1.0739E-2</v>
      </c>
      <c r="F191" s="85">
        <v>5.7260999999999999E-2</v>
      </c>
      <c r="G191" s="85">
        <v>-8.4620000000000008E-3</v>
      </c>
      <c r="H191" s="85">
        <v>1.8485000000000001E-2</v>
      </c>
      <c r="I191" s="85">
        <v>-1.9008000000000001E-2</v>
      </c>
      <c r="J191" s="85">
        <v>1.817E-3</v>
      </c>
      <c r="K191" s="85">
        <v>1.024E-3</v>
      </c>
    </row>
    <row r="192" spans="1:11" ht="15" customHeight="1" x14ac:dyDescent="0.2">
      <c r="A192" s="17">
        <v>45351</v>
      </c>
      <c r="B192" s="85">
        <v>8.2260000000000007E-3</v>
      </c>
      <c r="C192" s="85">
        <v>8.7910000000000002E-3</v>
      </c>
      <c r="D192" s="85">
        <v>4.1593999999999999E-2</v>
      </c>
      <c r="E192" s="85">
        <v>2.6870000000000002E-2</v>
      </c>
      <c r="F192" s="85">
        <v>5.2040000000000003E-3</v>
      </c>
      <c r="G192" s="85">
        <v>8.4620000000000008E-3</v>
      </c>
      <c r="H192" s="85">
        <v>3.9251000000000001E-2</v>
      </c>
      <c r="I192" s="85">
        <v>8.1845000000000001E-2</v>
      </c>
      <c r="J192" s="85">
        <v>2.0656000000000001E-2</v>
      </c>
      <c r="K192" s="85">
        <v>-1.4082000000000001E-2</v>
      </c>
    </row>
    <row r="193" spans="1:11" ht="15" customHeight="1" x14ac:dyDescent="0.2">
      <c r="A193" s="17">
        <v>45352</v>
      </c>
      <c r="B193" s="85">
        <v>-3.5980000000000001E-3</v>
      </c>
      <c r="C193" s="85">
        <v>4.3670000000000002E-3</v>
      </c>
      <c r="D193" s="85">
        <v>-4.8957000000000001E-2</v>
      </c>
      <c r="E193" s="85">
        <v>-5.6829999999999997E-3</v>
      </c>
      <c r="F193" s="85">
        <v>-8.1051999999999999E-2</v>
      </c>
      <c r="G193" s="85">
        <v>1.3937E-2</v>
      </c>
      <c r="H193" s="85">
        <v>3.5319999999999997E-2</v>
      </c>
      <c r="I193" s="85">
        <v>3.9220000000000001E-3</v>
      </c>
      <c r="J193" s="85">
        <v>-1.9748999999999999E-2</v>
      </c>
      <c r="K193" s="85">
        <v>-6.7979999999999999E-2</v>
      </c>
    </row>
    <row r="194" spans="1:11" ht="15" customHeight="1" x14ac:dyDescent="0.2">
      <c r="A194" s="17">
        <v>45355</v>
      </c>
      <c r="B194" s="85">
        <v>-1.9675999999999999E-2</v>
      </c>
      <c r="C194" s="85">
        <v>-1.1266E-2</v>
      </c>
      <c r="D194" s="85">
        <v>-0.14408899999999999</v>
      </c>
      <c r="E194" s="85">
        <v>-2.8544E-2</v>
      </c>
      <c r="F194" s="85">
        <v>2.7754000000000001E-2</v>
      </c>
      <c r="G194" s="85">
        <v>-2.5246000000000001E-2</v>
      </c>
      <c r="H194" s="85">
        <v>8.5400000000000007E-3</v>
      </c>
      <c r="I194" s="85">
        <v>1.9550000000000001E-3</v>
      </c>
      <c r="J194" s="85">
        <v>3.5623000000000002E-2</v>
      </c>
      <c r="K194" s="85">
        <v>-4.4530000000000004E-3</v>
      </c>
    </row>
    <row r="195" spans="1:11" ht="15" customHeight="1" x14ac:dyDescent="0.2">
      <c r="A195" s="17">
        <v>45356</v>
      </c>
      <c r="B195" s="85">
        <v>-3.509E-3</v>
      </c>
      <c r="C195" s="85">
        <v>7.5209999999999999E-3</v>
      </c>
      <c r="D195" s="85">
        <v>1.6043000000000002E-2</v>
      </c>
      <c r="E195" s="85">
        <v>-1.354E-3</v>
      </c>
      <c r="F195" s="85">
        <v>5.1567000000000002E-2</v>
      </c>
      <c r="G195" s="85">
        <v>4.1729000000000002E-2</v>
      </c>
      <c r="H195" s="85">
        <v>3.1331999999999999E-2</v>
      </c>
      <c r="I195" s="85">
        <v>3.8990000000000001E-3</v>
      </c>
      <c r="J195" s="85">
        <v>-2.3906E-2</v>
      </c>
      <c r="K195" s="85">
        <v>6.3020000000000003E-3</v>
      </c>
    </row>
    <row r="196" spans="1:11" ht="15" customHeight="1" x14ac:dyDescent="0.2">
      <c r="A196" s="17">
        <v>45357</v>
      </c>
      <c r="B196" s="85">
        <v>1.8897000000000001E-2</v>
      </c>
      <c r="C196" s="85">
        <v>-2.2105E-2</v>
      </c>
      <c r="D196" s="85">
        <v>-3.6924999999999999E-2</v>
      </c>
      <c r="E196" s="85">
        <v>1.7940999999999999E-2</v>
      </c>
      <c r="F196" s="85">
        <v>0</v>
      </c>
      <c r="G196" s="85">
        <v>8.1410000000000007E-3</v>
      </c>
      <c r="H196" s="85">
        <v>4.3772999999999999E-2</v>
      </c>
      <c r="I196" s="85">
        <v>1.944E-3</v>
      </c>
      <c r="J196" s="85">
        <v>5.9991999999999997E-2</v>
      </c>
      <c r="K196" s="85">
        <v>1.0293999999999999E-2</v>
      </c>
    </row>
    <row r="197" spans="1:11" ht="15" customHeight="1" x14ac:dyDescent="0.2">
      <c r="A197" s="17">
        <v>45358</v>
      </c>
      <c r="B197" s="85">
        <v>-8.3479999999999995E-3</v>
      </c>
      <c r="C197" s="85">
        <v>4.4345000000000002E-2</v>
      </c>
      <c r="D197" s="85">
        <v>7.4238999999999999E-2</v>
      </c>
      <c r="E197" s="85">
        <v>-6.0819999999999997E-3</v>
      </c>
      <c r="F197" s="85">
        <v>5.1859999999999996E-3</v>
      </c>
      <c r="G197" s="85">
        <v>-2.1847999999999999E-2</v>
      </c>
      <c r="H197" s="85">
        <v>-5.7075000000000001E-2</v>
      </c>
      <c r="I197" s="85">
        <v>1.9231000000000002E-2</v>
      </c>
      <c r="J197" s="85">
        <v>4.4561999999999997E-2</v>
      </c>
      <c r="K197" s="85">
        <v>-1.0293999999999999E-2</v>
      </c>
    </row>
    <row r="198" spans="1:11" ht="15" customHeight="1" x14ac:dyDescent="0.2">
      <c r="A198" s="17">
        <v>45359</v>
      </c>
      <c r="B198" s="85">
        <v>-1.9522000000000001E-2</v>
      </c>
      <c r="C198" s="85">
        <v>-8.5920000000000007E-3</v>
      </c>
      <c r="D198" s="85">
        <v>-0.128918</v>
      </c>
      <c r="E198" s="85">
        <v>-6.4520000000000003E-3</v>
      </c>
      <c r="F198" s="85">
        <v>5.0430999999999997E-2</v>
      </c>
      <c r="G198" s="85">
        <v>2.7680000000000001E-3</v>
      </c>
      <c r="H198" s="85">
        <v>-2.0243000000000001E-2</v>
      </c>
      <c r="I198" s="85">
        <v>3.3710999999999998E-2</v>
      </c>
      <c r="J198" s="85">
        <v>-4.2875000000000003E-2</v>
      </c>
      <c r="K198" s="85">
        <v>1.477E-3</v>
      </c>
    </row>
    <row r="199" spans="1:11" ht="15" customHeight="1" x14ac:dyDescent="0.2">
      <c r="A199" s="17">
        <v>45362</v>
      </c>
      <c r="B199" s="85">
        <v>1.975E-2</v>
      </c>
      <c r="C199" s="85">
        <v>6.1899999999999998E-4</v>
      </c>
      <c r="D199" s="85">
        <v>-2.2044000000000001E-2</v>
      </c>
      <c r="E199" s="85">
        <v>1.6749E-2</v>
      </c>
      <c r="F199" s="85">
        <v>1.4645999999999999E-2</v>
      </c>
      <c r="G199" s="85">
        <v>8.2299999999999995E-3</v>
      </c>
      <c r="H199" s="85">
        <v>6.9126999999999994E-2</v>
      </c>
      <c r="I199" s="85">
        <v>-3.6900000000000001E-3</v>
      </c>
      <c r="J199" s="85">
        <v>-8.4600000000000005E-3</v>
      </c>
      <c r="K199" s="85">
        <v>-4.2207000000000001E-2</v>
      </c>
    </row>
    <row r="200" spans="1:11" ht="15" customHeight="1" x14ac:dyDescent="0.2">
      <c r="A200" s="17">
        <v>45363</v>
      </c>
      <c r="B200" s="85">
        <v>6.6490000000000004E-3</v>
      </c>
      <c r="C200" s="85">
        <v>2.4931999999999999E-2</v>
      </c>
      <c r="D200" s="85">
        <v>-2.4569000000000001E-2</v>
      </c>
      <c r="E200" s="85">
        <v>-2.6710000000000002E-3</v>
      </c>
      <c r="F200" s="85">
        <v>-4.4599E-2</v>
      </c>
      <c r="G200" s="85">
        <v>2.709E-3</v>
      </c>
      <c r="H200" s="85">
        <v>-1.1214999999999999E-2</v>
      </c>
      <c r="I200" s="85">
        <v>3.8082999999999999E-2</v>
      </c>
      <c r="J200" s="85">
        <v>1.0984000000000001E-2</v>
      </c>
      <c r="K200" s="85">
        <v>7.6689999999999996E-3</v>
      </c>
    </row>
    <row r="201" spans="1:11" ht="15" customHeight="1" x14ac:dyDescent="0.2">
      <c r="A201" s="17">
        <v>45364</v>
      </c>
      <c r="B201" s="85">
        <v>1.2326999999999999E-2</v>
      </c>
      <c r="C201" s="85">
        <v>-2.7397000000000001E-2</v>
      </c>
      <c r="D201" s="85">
        <v>-7.7549999999999994E-2</v>
      </c>
      <c r="E201" s="85">
        <v>5.8240000000000002E-3</v>
      </c>
      <c r="F201" s="85">
        <v>-5.9147999999999999E-2</v>
      </c>
      <c r="G201" s="85">
        <v>-2.709E-3</v>
      </c>
      <c r="H201" s="85">
        <v>-3.2926999999999998E-2</v>
      </c>
      <c r="I201" s="85">
        <v>7.0920000000000002E-3</v>
      </c>
      <c r="J201" s="85">
        <v>-4.3803000000000002E-2</v>
      </c>
      <c r="K201" s="85">
        <v>-6.8989999999999998E-3</v>
      </c>
    </row>
    <row r="202" spans="1:11" ht="15" customHeight="1" x14ac:dyDescent="0.2">
      <c r="A202" s="17">
        <v>45365</v>
      </c>
      <c r="B202" s="85">
        <v>-2.4521999999999999E-2</v>
      </c>
      <c r="C202" s="85">
        <v>3.6949999999999999E-3</v>
      </c>
      <c r="D202" s="85">
        <v>5.8071999999999999E-2</v>
      </c>
      <c r="E202" s="85">
        <v>-1.1698999999999999E-2</v>
      </c>
      <c r="F202" s="85">
        <v>0</v>
      </c>
      <c r="G202" s="85">
        <v>8.1630000000000001E-3</v>
      </c>
      <c r="H202" s="85">
        <v>-1.217E-3</v>
      </c>
      <c r="I202" s="85">
        <v>2.4434000000000001E-2</v>
      </c>
      <c r="J202" s="85">
        <v>-1.7715000000000002E-2</v>
      </c>
      <c r="K202" s="85">
        <v>3.4559999999999999E-3</v>
      </c>
    </row>
    <row r="203" spans="1:11" ht="15" customHeight="1" x14ac:dyDescent="0.2">
      <c r="A203" s="17">
        <v>45366</v>
      </c>
      <c r="B203" s="85">
        <v>3.4400000000000001E-4</v>
      </c>
      <c r="C203" s="85">
        <v>-4.3160000000000004E-3</v>
      </c>
      <c r="D203" s="85">
        <v>4.6480000000000002E-3</v>
      </c>
      <c r="E203" s="85">
        <v>2.0437E-2</v>
      </c>
      <c r="F203" s="85">
        <v>-7.1939999999999999E-3</v>
      </c>
      <c r="G203" s="85">
        <v>-5.8590999999999997E-2</v>
      </c>
      <c r="H203" s="85">
        <v>7.0109999999999999E-3</v>
      </c>
      <c r="I203" s="85">
        <v>-5.1859999999999996E-3</v>
      </c>
      <c r="J203" s="85">
        <v>-1.1686E-2</v>
      </c>
      <c r="K203" s="85">
        <v>-7.67E-4</v>
      </c>
    </row>
    <row r="204" spans="1:11" ht="15" customHeight="1" x14ac:dyDescent="0.2">
      <c r="A204" s="17">
        <v>45369</v>
      </c>
      <c r="B204" s="85">
        <v>8.1060000000000004E-3</v>
      </c>
      <c r="C204" s="85">
        <v>-6.8180000000000003E-3</v>
      </c>
      <c r="D204" s="85">
        <v>-4.6480000000000002E-3</v>
      </c>
      <c r="E204" s="85">
        <v>3.7929999999999999E-3</v>
      </c>
      <c r="F204" s="85">
        <v>-6.5261E-2</v>
      </c>
      <c r="G204" s="85">
        <v>1.1408E-2</v>
      </c>
      <c r="H204" s="85">
        <v>1.0605E-2</v>
      </c>
      <c r="I204" s="85">
        <v>4.5732000000000002E-2</v>
      </c>
      <c r="J204" s="85">
        <v>-9.0499999999999999E-4</v>
      </c>
      <c r="K204" s="85">
        <v>-2.689E-3</v>
      </c>
    </row>
    <row r="205" spans="1:11" ht="15" customHeight="1" x14ac:dyDescent="0.2">
      <c r="A205" s="17">
        <v>45370</v>
      </c>
      <c r="B205" s="85">
        <v>1.2710000000000001E-2</v>
      </c>
      <c r="C205" s="85">
        <v>4.6776999999999999E-2</v>
      </c>
      <c r="D205" s="85">
        <v>0.149259</v>
      </c>
      <c r="E205" s="85">
        <v>1.1134E-2</v>
      </c>
      <c r="F205" s="85">
        <v>-1.7493000000000002E-2</v>
      </c>
      <c r="G205" s="85">
        <v>1.9699999999999999E-2</v>
      </c>
      <c r="H205" s="85">
        <v>1.0836E-2</v>
      </c>
      <c r="I205" s="85">
        <v>9.8849999999999997E-3</v>
      </c>
      <c r="J205" s="85">
        <v>1.3483E-2</v>
      </c>
      <c r="K205" s="85">
        <v>4.3281E-2</v>
      </c>
    </row>
    <row r="206" spans="1:11" ht="15" customHeight="1" x14ac:dyDescent="0.2">
      <c r="A206" s="17">
        <v>45371</v>
      </c>
      <c r="B206" s="85">
        <v>0</v>
      </c>
      <c r="C206" s="85">
        <v>1.0037000000000001E-2</v>
      </c>
      <c r="D206" s="85">
        <v>-2.9406999999999999E-2</v>
      </c>
      <c r="E206" s="85">
        <v>-7.9649999999999999E-3</v>
      </c>
      <c r="F206" s="85">
        <v>-1.9803000000000001E-2</v>
      </c>
      <c r="G206" s="85">
        <v>-2.7989999999999998E-3</v>
      </c>
      <c r="H206" s="85">
        <v>1.1694E-2</v>
      </c>
      <c r="I206" s="85">
        <v>-6.5789999999999998E-3</v>
      </c>
      <c r="J206" s="85">
        <v>-3.578E-3</v>
      </c>
      <c r="K206" s="85">
        <v>1.5351E-2</v>
      </c>
    </row>
    <row r="207" spans="1:11" ht="15" customHeight="1" x14ac:dyDescent="0.2">
      <c r="A207" s="17">
        <v>45372</v>
      </c>
      <c r="B207" s="85">
        <v>4.0330000000000001E-3</v>
      </c>
      <c r="C207" s="85">
        <v>3.5179999999999999E-3</v>
      </c>
      <c r="D207" s="85">
        <v>-4.2679000000000002E-2</v>
      </c>
      <c r="E207" s="85">
        <v>8.4749999999999999E-3</v>
      </c>
      <c r="F207" s="85">
        <v>-2.2245999999999998E-2</v>
      </c>
      <c r="G207" s="85">
        <v>0</v>
      </c>
      <c r="H207" s="85">
        <v>3.0735999999999999E-2</v>
      </c>
      <c r="I207" s="85">
        <v>-1.4963000000000001E-2</v>
      </c>
      <c r="J207" s="85">
        <v>2.1277000000000001E-2</v>
      </c>
      <c r="K207" s="85">
        <v>-2.1262E-2</v>
      </c>
    </row>
    <row r="208" spans="1:11" ht="15" customHeight="1" x14ac:dyDescent="0.2">
      <c r="A208" s="17">
        <v>45373</v>
      </c>
      <c r="B208" s="85">
        <v>4.6849999999999999E-3</v>
      </c>
      <c r="C208" s="85">
        <v>1.7570000000000001E-3</v>
      </c>
      <c r="D208" s="85">
        <v>3.826E-3</v>
      </c>
      <c r="E208" s="85">
        <v>-8.7600000000000004E-4</v>
      </c>
      <c r="F208" s="85">
        <v>4.0819999999999997E-3</v>
      </c>
      <c r="G208" s="85">
        <v>-1.6900999999999999E-2</v>
      </c>
      <c r="H208" s="85">
        <v>7.5329999999999998E-3</v>
      </c>
      <c r="I208" s="85">
        <v>4.1022999999999997E-2</v>
      </c>
      <c r="J208" s="85">
        <v>-1.2357E-2</v>
      </c>
      <c r="K208" s="85">
        <v>7.7510000000000001E-3</v>
      </c>
    </row>
    <row r="209" spans="1:11" ht="15" customHeight="1" x14ac:dyDescent="0.2">
      <c r="A209" s="17">
        <v>45376</v>
      </c>
      <c r="B209" s="85">
        <v>-7.8770000000000003E-3</v>
      </c>
      <c r="C209" s="85">
        <v>-4.6909999999999999E-3</v>
      </c>
      <c r="D209" s="85">
        <v>-2.7584999999999998E-2</v>
      </c>
      <c r="E209" s="85">
        <v>2.833E-3</v>
      </c>
      <c r="F209" s="85">
        <v>-2.6832999999999999E-2</v>
      </c>
      <c r="G209" s="85">
        <v>5.6849999999999999E-3</v>
      </c>
      <c r="H209" s="85">
        <v>-2.6030000000000001E-2</v>
      </c>
      <c r="I209" s="85">
        <v>-1.6208E-2</v>
      </c>
      <c r="J209" s="85">
        <v>4.431E-3</v>
      </c>
      <c r="K209" s="85">
        <v>-1.8553E-2</v>
      </c>
    </row>
    <row r="210" spans="1:11" ht="15" customHeight="1" x14ac:dyDescent="0.2">
      <c r="A210" s="17">
        <v>45377</v>
      </c>
      <c r="B210" s="85">
        <v>8.5439999999999995E-3</v>
      </c>
      <c r="C210" s="85">
        <v>9.3530000000000002E-3</v>
      </c>
      <c r="D210" s="85">
        <v>7.9665E-2</v>
      </c>
      <c r="E210" s="85">
        <v>-2.5284000000000001E-2</v>
      </c>
      <c r="F210" s="85">
        <v>-2.3281E-2</v>
      </c>
      <c r="G210" s="85">
        <v>1.6806000000000001E-2</v>
      </c>
      <c r="H210" s="85">
        <v>-2.5284000000000001E-2</v>
      </c>
      <c r="I210" s="85">
        <v>2.1018999999999999E-2</v>
      </c>
      <c r="J210" s="85">
        <v>1.2302E-2</v>
      </c>
      <c r="K210" s="85">
        <v>1.0803E-2</v>
      </c>
    </row>
    <row r="211" spans="1:11" ht="15" customHeight="1" x14ac:dyDescent="0.2">
      <c r="A211" s="17">
        <v>45378</v>
      </c>
      <c r="B211" s="85">
        <v>3.0539999999999999E-3</v>
      </c>
      <c r="C211" s="85">
        <v>-5.0712E-2</v>
      </c>
      <c r="D211" s="85">
        <v>2.2845000000000001E-2</v>
      </c>
      <c r="E211" s="85">
        <v>-1.0156999999999999E-2</v>
      </c>
      <c r="F211" s="85">
        <v>-3.7081999999999997E-2</v>
      </c>
      <c r="G211" s="85">
        <v>-1.6806000000000001E-2</v>
      </c>
      <c r="H211" s="85">
        <v>1.173E-3</v>
      </c>
      <c r="I211" s="85">
        <v>4.7889999999999999E-3</v>
      </c>
      <c r="J211" s="85">
        <v>2.617E-3</v>
      </c>
      <c r="K211" s="85">
        <v>-1.0803E-2</v>
      </c>
    </row>
    <row r="212" spans="1:11" ht="15" customHeight="1" x14ac:dyDescent="0.2">
      <c r="A212" s="17">
        <v>45379</v>
      </c>
      <c r="B212" s="85">
        <v>3.2659999999999998E-3</v>
      </c>
      <c r="C212" s="85">
        <v>-4.9059999999999998E-3</v>
      </c>
      <c r="D212" s="85">
        <v>-4.2983E-2</v>
      </c>
      <c r="E212" s="85">
        <v>1.1427E-2</v>
      </c>
      <c r="F212" s="85">
        <v>3.0637000000000001E-2</v>
      </c>
      <c r="G212" s="85">
        <v>-1.1372999999999999E-2</v>
      </c>
      <c r="H212" s="85">
        <v>7.7999999999999999E-5</v>
      </c>
      <c r="I212" s="85">
        <v>1.4229E-2</v>
      </c>
      <c r="J212" s="85">
        <v>-2.0237999999999999E-2</v>
      </c>
      <c r="K212" s="85">
        <v>-3.3760000000000001E-3</v>
      </c>
    </row>
    <row r="213" spans="1:11" ht="15" customHeight="1" x14ac:dyDescent="0.2">
      <c r="A213" s="17">
        <v>45383</v>
      </c>
      <c r="B213" s="85">
        <v>-1.5479999999999999E-3</v>
      </c>
      <c r="C213" s="85">
        <v>-4.9158E-2</v>
      </c>
      <c r="D213" s="85">
        <v>-9.1940999999999995E-2</v>
      </c>
      <c r="E213" s="85">
        <v>-1.63E-4</v>
      </c>
      <c r="F213" s="85">
        <v>-2.1787000000000001E-2</v>
      </c>
      <c r="G213" s="85">
        <v>0</v>
      </c>
      <c r="H213" s="85">
        <v>-1.0132E-2</v>
      </c>
      <c r="I213" s="85">
        <v>3.3953999999999998E-2</v>
      </c>
      <c r="J213" s="85">
        <v>-1.5226E-2</v>
      </c>
      <c r="K213" s="85">
        <v>-1.3620999999999999E-2</v>
      </c>
    </row>
    <row r="214" spans="1:11" ht="15" customHeight="1" x14ac:dyDescent="0.2">
      <c r="A214" s="17">
        <v>45384</v>
      </c>
      <c r="B214" s="85">
        <v>9.4739999999999998E-3</v>
      </c>
      <c r="C214" s="85">
        <v>-9.0880000000000006E-3</v>
      </c>
      <c r="D214" s="85">
        <v>-1.5322000000000001E-2</v>
      </c>
      <c r="E214" s="85">
        <v>2.5510000000000001E-2</v>
      </c>
      <c r="F214" s="85">
        <v>-1.1074000000000001E-2</v>
      </c>
      <c r="G214" s="85">
        <v>2.2589000000000001E-2</v>
      </c>
      <c r="H214" s="85">
        <v>-5.4710000000000002E-3</v>
      </c>
      <c r="I214" s="85">
        <v>1.3565000000000001E-2</v>
      </c>
      <c r="J214" s="85">
        <v>6.2979999999999998E-3</v>
      </c>
      <c r="K214" s="85">
        <v>-1.8842999999999999E-2</v>
      </c>
    </row>
    <row r="215" spans="1:11" ht="15" customHeight="1" x14ac:dyDescent="0.2">
      <c r="A215" s="17">
        <v>45385</v>
      </c>
      <c r="B215" s="85">
        <v>-1.3299999999999999E-2</v>
      </c>
      <c r="C215" s="85">
        <v>-1.8421E-2</v>
      </c>
      <c r="D215" s="85">
        <v>-5.067E-2</v>
      </c>
      <c r="E215" s="85">
        <v>-2.0750999999999999E-2</v>
      </c>
      <c r="F215" s="85">
        <v>2.225E-3</v>
      </c>
      <c r="G215" s="85">
        <v>-1.4054000000000001E-2</v>
      </c>
      <c r="H215" s="85">
        <v>-3.499E-2</v>
      </c>
      <c r="I215" s="85">
        <v>-2.1180999999999998E-2</v>
      </c>
      <c r="J215" s="85">
        <v>-1.1728000000000001E-2</v>
      </c>
      <c r="K215" s="85">
        <v>-1.7228E-2</v>
      </c>
    </row>
    <row r="216" spans="1:11" ht="15" customHeight="1" x14ac:dyDescent="0.2">
      <c r="A216" s="17">
        <v>45386</v>
      </c>
      <c r="B216" s="85">
        <v>2.7777E-2</v>
      </c>
      <c r="C216" s="85">
        <v>3.9750000000000002E-3</v>
      </c>
      <c r="D216" s="85">
        <v>-2.1679999999999998E-3</v>
      </c>
      <c r="E216" s="85">
        <v>3.0386E-2</v>
      </c>
      <c r="F216" s="85">
        <v>-2.4747999999999999E-2</v>
      </c>
      <c r="G216" s="85">
        <v>-1.1405999999999999E-2</v>
      </c>
      <c r="H216" s="85">
        <v>2.4187E-2</v>
      </c>
      <c r="I216" s="85">
        <v>-1.5299999999999999E-3</v>
      </c>
      <c r="J216" s="85">
        <v>-1.817E-3</v>
      </c>
      <c r="K216" s="85">
        <v>1.5790000000000001E-3</v>
      </c>
    </row>
    <row r="217" spans="1:11" ht="15" customHeight="1" x14ac:dyDescent="0.2">
      <c r="A217" s="17">
        <v>45387</v>
      </c>
      <c r="B217" s="85">
        <v>6.4800000000000003E-4</v>
      </c>
      <c r="C217" s="85">
        <v>3.5090000000000003E-2</v>
      </c>
      <c r="D217" s="85">
        <v>-2.639E-2</v>
      </c>
      <c r="E217" s="85">
        <v>-1.2289E-2</v>
      </c>
      <c r="F217" s="85">
        <v>-4.5659999999999997E-3</v>
      </c>
      <c r="G217" s="85">
        <v>-2.849E-3</v>
      </c>
      <c r="H217" s="85">
        <v>-9.9919999999999991E-3</v>
      </c>
      <c r="I217" s="85">
        <v>3.058E-3</v>
      </c>
      <c r="J217" s="85">
        <v>9.9500000000000005E-3</v>
      </c>
      <c r="K217" s="85">
        <v>3.2967999999999997E-2</v>
      </c>
    </row>
    <row r="218" spans="1:11" ht="15" customHeight="1" x14ac:dyDescent="0.2">
      <c r="A218" s="17">
        <v>45390</v>
      </c>
      <c r="B218" s="85">
        <v>2.5890000000000002E-3</v>
      </c>
      <c r="C218" s="85">
        <v>-1.0266000000000001E-2</v>
      </c>
      <c r="D218" s="85">
        <v>1.67E-3</v>
      </c>
      <c r="E218" s="85">
        <v>-1.6381E-2</v>
      </c>
      <c r="F218" s="85">
        <v>7.4925000000000005E-2</v>
      </c>
      <c r="G218" s="85">
        <v>5.7200000000000003E-3</v>
      </c>
      <c r="H218" s="85">
        <v>-2.0629999999999999E-2</v>
      </c>
      <c r="I218" s="85">
        <v>-2.6297000000000001E-2</v>
      </c>
      <c r="J218" s="85">
        <v>1.0743000000000001E-2</v>
      </c>
      <c r="K218" s="85">
        <v>3.2654000000000002E-2</v>
      </c>
    </row>
    <row r="219" spans="1:11" ht="15" customHeight="1" x14ac:dyDescent="0.2">
      <c r="A219" s="17">
        <v>45391</v>
      </c>
      <c r="B219" s="85">
        <v>1.5070000000000001E-3</v>
      </c>
      <c r="C219" s="85">
        <v>-3.6131000000000003E-2</v>
      </c>
      <c r="D219" s="85">
        <v>-3.3939999999999998E-2</v>
      </c>
      <c r="E219" s="85">
        <v>6.1399999999999996E-4</v>
      </c>
      <c r="F219" s="85">
        <v>-2.5808000000000001E-2</v>
      </c>
      <c r="G219" s="85">
        <v>-2.3111E-2</v>
      </c>
      <c r="H219" s="85">
        <v>1.9550000000000001E-2</v>
      </c>
      <c r="I219" s="85">
        <v>7.8059999999999996E-3</v>
      </c>
      <c r="J219" s="85">
        <v>-3.1662999999999997E-2</v>
      </c>
      <c r="K219" s="85">
        <v>-4.3781E-2</v>
      </c>
    </row>
    <row r="220" spans="1:11" ht="15" customHeight="1" x14ac:dyDescent="0.2">
      <c r="A220" s="17">
        <v>45392</v>
      </c>
      <c r="B220" s="85">
        <v>1.6534E-2</v>
      </c>
      <c r="C220" s="85">
        <v>1.3359999999999999E-3</v>
      </c>
      <c r="D220" s="85">
        <v>1.2579E-2</v>
      </c>
      <c r="E220" s="85">
        <v>1.6355000000000001E-2</v>
      </c>
      <c r="F220" s="85">
        <v>-2.8731E-2</v>
      </c>
      <c r="G220" s="85">
        <v>0</v>
      </c>
      <c r="H220" s="85">
        <v>4.0274999999999998E-2</v>
      </c>
      <c r="I220" s="85">
        <v>-3.3204999999999998E-2</v>
      </c>
      <c r="J220" s="85">
        <v>4.3172000000000002E-2</v>
      </c>
      <c r="K220" s="85">
        <v>5.0029999999999996E-3</v>
      </c>
    </row>
    <row r="221" spans="1:11" ht="15" customHeight="1" x14ac:dyDescent="0.2">
      <c r="A221" s="17">
        <v>45393</v>
      </c>
      <c r="B221" s="85">
        <v>-1.5566E-2</v>
      </c>
      <c r="C221" s="85">
        <v>-4.1602E-2</v>
      </c>
      <c r="D221" s="85">
        <v>-8.8458999999999996E-2</v>
      </c>
      <c r="E221" s="85">
        <v>-9.5080000000000008E-3</v>
      </c>
      <c r="F221" s="85">
        <v>-8.1725999999999993E-2</v>
      </c>
      <c r="G221" s="85">
        <v>-2.6667E-2</v>
      </c>
      <c r="H221" s="85">
        <v>-2.7182000000000001E-2</v>
      </c>
      <c r="I221" s="85">
        <v>-6.4520000000000003E-3</v>
      </c>
      <c r="J221" s="85">
        <v>-4.5933000000000002E-2</v>
      </c>
      <c r="K221" s="85">
        <v>-2.8818E-2</v>
      </c>
    </row>
    <row r="222" spans="1:11" ht="15" customHeight="1" x14ac:dyDescent="0.2">
      <c r="A222" s="17">
        <v>45394</v>
      </c>
      <c r="B222" s="85">
        <v>-1.3577000000000001E-2</v>
      </c>
      <c r="C222" s="85">
        <v>-2.1111000000000001E-2</v>
      </c>
      <c r="D222" s="85">
        <v>-6.1440000000000002E-2</v>
      </c>
      <c r="E222" s="85">
        <v>-2.5498E-2</v>
      </c>
      <c r="F222" s="85">
        <v>-5.5014E-2</v>
      </c>
      <c r="G222" s="85">
        <v>-9.0489999999999998E-3</v>
      </c>
      <c r="H222" s="85">
        <v>-2.5090000000000001E-2</v>
      </c>
      <c r="I222" s="85">
        <v>-2.1260000000000001E-2</v>
      </c>
      <c r="J222" s="85">
        <v>-4.8145E-2</v>
      </c>
      <c r="K222" s="85">
        <v>-3.5388000000000003E-2</v>
      </c>
    </row>
    <row r="223" spans="1:11" ht="15" customHeight="1" x14ac:dyDescent="0.2">
      <c r="A223" s="17">
        <v>45397</v>
      </c>
      <c r="B223" s="85">
        <v>-1.635E-3</v>
      </c>
      <c r="C223" s="85">
        <v>-1.1448E-2</v>
      </c>
      <c r="D223" s="85">
        <v>-3.6978999999999998E-2</v>
      </c>
      <c r="E223" s="85">
        <v>1.6936E-2</v>
      </c>
      <c r="F223" s="85">
        <v>-2.078E-2</v>
      </c>
      <c r="G223" s="85">
        <v>9.0489999999999998E-3</v>
      </c>
      <c r="H223" s="85">
        <v>1.6308E-2</v>
      </c>
      <c r="I223" s="85">
        <v>-2.3411999999999999E-2</v>
      </c>
      <c r="J223" s="85">
        <v>6.7470000000000004E-3</v>
      </c>
      <c r="K223" s="85">
        <v>-2.0261000000000001E-2</v>
      </c>
    </row>
    <row r="224" spans="1:11" ht="15" customHeight="1" x14ac:dyDescent="0.2">
      <c r="A224" s="17">
        <v>45398</v>
      </c>
      <c r="B224" s="85">
        <v>-1.119E-2</v>
      </c>
      <c r="C224" s="85">
        <v>1.5703999999999999E-2</v>
      </c>
      <c r="D224" s="85">
        <v>2.0530000000000001E-3</v>
      </c>
      <c r="E224" s="85">
        <v>-6.2220000000000001E-3</v>
      </c>
      <c r="F224" s="85">
        <v>2.5908E-2</v>
      </c>
      <c r="G224" s="85">
        <v>0</v>
      </c>
      <c r="H224" s="85">
        <v>-3.9433999999999997E-2</v>
      </c>
      <c r="I224" s="85">
        <v>-3.9695000000000001E-2</v>
      </c>
      <c r="J224" s="85">
        <v>4.5996000000000002E-2</v>
      </c>
      <c r="K224" s="85">
        <v>-9.2320000000000006E-3</v>
      </c>
    </row>
    <row r="225" spans="1:11" ht="15" customHeight="1" x14ac:dyDescent="0.2">
      <c r="A225" s="17">
        <v>45399</v>
      </c>
      <c r="B225" s="85">
        <v>-1.1429E-2</v>
      </c>
      <c r="C225" s="85">
        <v>4.2459999999999998E-3</v>
      </c>
      <c r="D225" s="85">
        <v>2.6974000000000001E-2</v>
      </c>
      <c r="E225" s="85">
        <v>-5.1130000000000004E-3</v>
      </c>
      <c r="F225" s="85">
        <v>2.2756999999999999E-2</v>
      </c>
      <c r="G225" s="85">
        <v>3.5400000000000001E-2</v>
      </c>
      <c r="H225" s="85">
        <v>7.5389999999999997E-3</v>
      </c>
      <c r="I225" s="85">
        <v>-2.3153E-2</v>
      </c>
      <c r="J225" s="85">
        <v>6.4824999999999994E-2</v>
      </c>
      <c r="K225" s="85">
        <v>-1.2300999999999999E-2</v>
      </c>
    </row>
    <row r="226" spans="1:11" ht="15" customHeight="1" x14ac:dyDescent="0.2">
      <c r="A226" s="17">
        <v>45400</v>
      </c>
      <c r="B226" s="85">
        <v>-2.5944999999999999E-2</v>
      </c>
      <c r="C226" s="85">
        <v>-4.2459999999999998E-3</v>
      </c>
      <c r="D226" s="85">
        <v>9.3312000000000006E-2</v>
      </c>
      <c r="E226" s="85">
        <v>-9.5336000000000004E-2</v>
      </c>
      <c r="F226" s="85">
        <v>-5.1292999999999998E-2</v>
      </c>
      <c r="G226" s="85">
        <v>2.0066000000000001E-2</v>
      </c>
      <c r="H226" s="85">
        <v>-0.105411</v>
      </c>
      <c r="I226" s="85">
        <v>2.1391E-2</v>
      </c>
      <c r="J226" s="85">
        <v>-4.1251999999999997E-2</v>
      </c>
      <c r="K226" s="85">
        <v>-2.3317000000000001E-2</v>
      </c>
    </row>
    <row r="227" spans="1:11" ht="15" customHeight="1" x14ac:dyDescent="0.2">
      <c r="A227" s="17">
        <v>45401</v>
      </c>
      <c r="B227" s="85">
        <v>1.4779E-2</v>
      </c>
      <c r="C227" s="85">
        <v>1.1270000000000001E-2</v>
      </c>
      <c r="D227" s="85">
        <v>6.1693999999999999E-2</v>
      </c>
      <c r="E227" s="85">
        <v>-7.9299999999999998E-4</v>
      </c>
      <c r="F227" s="85">
        <v>5.1292999999999998E-2</v>
      </c>
      <c r="G227" s="85">
        <v>5.9472999999999998E-2</v>
      </c>
      <c r="H227" s="85">
        <v>4.2622E-2</v>
      </c>
      <c r="I227" s="85">
        <v>2.4390999999999999E-2</v>
      </c>
      <c r="J227" s="85">
        <v>-1.794E-3</v>
      </c>
      <c r="K227" s="85">
        <v>0</v>
      </c>
    </row>
    <row r="228" spans="1:11" ht="15" customHeight="1" x14ac:dyDescent="0.2">
      <c r="A228" s="17">
        <v>45404</v>
      </c>
      <c r="B228" s="85">
        <v>1.295E-2</v>
      </c>
      <c r="C228" s="85">
        <v>3.5088000000000001E-2</v>
      </c>
      <c r="D228" s="85">
        <v>0.10227899999999999</v>
      </c>
      <c r="E228" s="85">
        <v>4.0894E-2</v>
      </c>
      <c r="F228" s="85">
        <v>2.4970000000000001E-3</v>
      </c>
      <c r="G228" s="85">
        <v>-2.7179999999999999E-3</v>
      </c>
      <c r="H228" s="85">
        <v>3.5881999999999997E-2</v>
      </c>
      <c r="I228" s="85">
        <v>2.2128999999999999E-2</v>
      </c>
      <c r="J228" s="85">
        <v>2.2193999999999998E-2</v>
      </c>
      <c r="K228" s="85">
        <v>9.1319999999999995E-3</v>
      </c>
    </row>
    <row r="229" spans="1:11" ht="15" customHeight="1" x14ac:dyDescent="0.2">
      <c r="A229" s="17">
        <v>45405</v>
      </c>
      <c r="B229" s="85">
        <v>-1.6566999999999998E-2</v>
      </c>
      <c r="C229" s="85">
        <v>1.4766E-2</v>
      </c>
      <c r="D229" s="85">
        <v>-1.8168E-2</v>
      </c>
      <c r="E229" s="85">
        <v>-3.9956999999999999E-2</v>
      </c>
      <c r="F229" s="85">
        <v>3.4317E-2</v>
      </c>
      <c r="G229" s="85">
        <v>-8.1989999999999997E-3</v>
      </c>
      <c r="H229" s="85">
        <v>-3.3883000000000003E-2</v>
      </c>
      <c r="I229" s="85">
        <v>-2.7304999999999999E-2</v>
      </c>
      <c r="J229" s="85">
        <v>-2.7594E-2</v>
      </c>
      <c r="K229" s="85">
        <v>2.0142E-2</v>
      </c>
    </row>
    <row r="230" spans="1:11" ht="15" customHeight="1" x14ac:dyDescent="0.2">
      <c r="A230" s="17">
        <v>45406</v>
      </c>
      <c r="B230" s="85">
        <v>-1.6674000000000001E-2</v>
      </c>
      <c r="C230" s="85">
        <v>1.1268E-2</v>
      </c>
      <c r="D230" s="85">
        <v>-4.1989999999999996E-3</v>
      </c>
      <c r="E230" s="85">
        <v>1.7287E-2</v>
      </c>
      <c r="F230" s="85">
        <v>-4.8310000000000002E-3</v>
      </c>
      <c r="G230" s="85">
        <v>-2.7190000000000001E-3</v>
      </c>
      <c r="H230" s="85">
        <v>3.6415999999999997E-2</v>
      </c>
      <c r="I230" s="85">
        <v>-6.9439999999999997E-3</v>
      </c>
      <c r="J230" s="85">
        <v>2.8472000000000001E-2</v>
      </c>
      <c r="K230" s="85">
        <v>-1.0663000000000001E-2</v>
      </c>
    </row>
    <row r="231" spans="1:11" ht="15" customHeight="1" x14ac:dyDescent="0.2">
      <c r="A231" s="17">
        <v>45407</v>
      </c>
      <c r="B231" s="85">
        <v>3.3687000000000002E-2</v>
      </c>
      <c r="C231" s="85">
        <v>-6.613E-3</v>
      </c>
      <c r="D231" s="85">
        <v>2.1853000000000001E-2</v>
      </c>
      <c r="E231" s="85">
        <v>-6.3410000000000003E-3</v>
      </c>
      <c r="F231" s="85">
        <v>8.3574999999999997E-2</v>
      </c>
      <c r="G231" s="85">
        <v>2.7190000000000001E-3</v>
      </c>
      <c r="H231" s="85">
        <v>5.9923999999999998E-2</v>
      </c>
      <c r="I231" s="85">
        <v>2.2395000000000002E-2</v>
      </c>
      <c r="J231" s="85">
        <v>0.243978</v>
      </c>
      <c r="K231" s="85">
        <v>3.4145000000000002E-2</v>
      </c>
    </row>
    <row r="232" spans="1:11" ht="15" customHeight="1" x14ac:dyDescent="0.2">
      <c r="A232" s="17">
        <v>45408</v>
      </c>
      <c r="B232" s="85">
        <v>7.4330000000000004E-3</v>
      </c>
      <c r="C232" s="85">
        <v>3.3119999999999998E-3</v>
      </c>
      <c r="D232" s="85">
        <v>-7.4781E-2</v>
      </c>
      <c r="E232" s="85">
        <v>-3.1050000000000001E-3</v>
      </c>
      <c r="F232" s="85">
        <v>2.4204E-2</v>
      </c>
      <c r="G232" s="85">
        <v>8.1989999999999997E-3</v>
      </c>
      <c r="H232" s="85">
        <v>2.5099999999999998E-4</v>
      </c>
      <c r="I232" s="85">
        <v>-8.5540000000000008E-3</v>
      </c>
      <c r="J232" s="85">
        <v>-4.1320000000000003E-3</v>
      </c>
      <c r="K232" s="85">
        <v>3.5020000000000003E-2</v>
      </c>
    </row>
    <row r="233" spans="1:11" ht="15" customHeight="1" x14ac:dyDescent="0.2">
      <c r="A233" s="17">
        <v>45411</v>
      </c>
      <c r="B233" s="85">
        <v>-3.3489999999999999E-2</v>
      </c>
      <c r="C233" s="85">
        <v>-2.0704E-2</v>
      </c>
      <c r="D233" s="85">
        <v>-0.115705</v>
      </c>
      <c r="E233" s="85">
        <v>-1.5944E-2</v>
      </c>
      <c r="F233" s="85">
        <v>2.5752000000000001E-2</v>
      </c>
      <c r="G233" s="85">
        <v>-8.1989999999999997E-3</v>
      </c>
      <c r="H233" s="85">
        <v>-1.5559999999999999E-2</v>
      </c>
      <c r="I233" s="85">
        <v>-0.108803</v>
      </c>
      <c r="J233" s="85">
        <v>3.7919000000000001E-2</v>
      </c>
      <c r="K233" s="85">
        <v>-2.9235000000000001E-2</v>
      </c>
    </row>
    <row r="234" spans="1:11" ht="15" customHeight="1" x14ac:dyDescent="0.2">
      <c r="A234" s="17">
        <v>45412</v>
      </c>
      <c r="B234" s="85">
        <v>2.2599999999999999E-2</v>
      </c>
      <c r="C234" s="85">
        <v>-2.3900999999999999E-2</v>
      </c>
      <c r="D234" s="85">
        <v>6.2200000000000005E-4</v>
      </c>
      <c r="E234" s="85">
        <v>1.941E-3</v>
      </c>
      <c r="F234" s="85">
        <v>0.110222</v>
      </c>
      <c r="G234" s="85">
        <v>0</v>
      </c>
      <c r="H234" s="85">
        <v>-3.9676999999999997E-2</v>
      </c>
      <c r="I234" s="85">
        <v>9.5329999999999998E-3</v>
      </c>
      <c r="J234" s="85">
        <v>5.2422000000000003E-2</v>
      </c>
      <c r="K234" s="85">
        <v>1.1471E-2</v>
      </c>
    </row>
    <row r="235" spans="1:11" ht="15" customHeight="1" x14ac:dyDescent="0.2">
      <c r="A235" s="17">
        <v>45413</v>
      </c>
      <c r="B235" s="85">
        <v>3.1454999999999997E-2</v>
      </c>
      <c r="C235" s="85">
        <v>-6.8800000000000003E-4</v>
      </c>
      <c r="D235" s="85">
        <v>6.0367999999999998E-2</v>
      </c>
      <c r="E235" s="85">
        <v>2.4069E-2</v>
      </c>
      <c r="F235" s="85">
        <v>5.8949000000000001E-2</v>
      </c>
      <c r="G235" s="85">
        <v>5.4739999999999997E-3</v>
      </c>
      <c r="H235" s="85">
        <v>3.2883000000000003E-2</v>
      </c>
      <c r="I235" s="85">
        <v>1.8797999999999999E-2</v>
      </c>
      <c r="J235" s="85">
        <v>2.7365E-2</v>
      </c>
      <c r="K235" s="85">
        <v>-1.6012999999999999E-2</v>
      </c>
    </row>
    <row r="236" spans="1:11" ht="15" customHeight="1" x14ac:dyDescent="0.2">
      <c r="A236" s="17">
        <v>45414</v>
      </c>
      <c r="B236" s="85">
        <v>8.0339999999999995E-3</v>
      </c>
      <c r="C236" s="85">
        <v>-1.384E-3</v>
      </c>
      <c r="D236" s="85">
        <v>2.6020999999999999E-2</v>
      </c>
      <c r="E236" s="85">
        <v>2.4798000000000001E-2</v>
      </c>
      <c r="F236" s="85">
        <v>-3.5839999999999999E-3</v>
      </c>
      <c r="G236" s="85">
        <v>5.4440000000000001E-3</v>
      </c>
      <c r="H236" s="85">
        <v>3.4044999999999999E-2</v>
      </c>
      <c r="I236" s="85">
        <v>3.6567000000000002E-2</v>
      </c>
      <c r="J236" s="85">
        <v>-3.0720000000000001E-3</v>
      </c>
      <c r="K236" s="85">
        <v>2.3723000000000001E-2</v>
      </c>
    </row>
    <row r="237" spans="1:11" ht="15" customHeight="1" x14ac:dyDescent="0.2">
      <c r="A237" s="17">
        <v>45415</v>
      </c>
      <c r="B237" s="85">
        <v>1.3283E-2</v>
      </c>
      <c r="C237" s="85">
        <v>1.1015E-2</v>
      </c>
      <c r="D237" s="85">
        <v>0.16533999999999999</v>
      </c>
      <c r="E237" s="85">
        <v>2.9977E-2</v>
      </c>
      <c r="F237" s="85">
        <v>2.1315000000000001E-2</v>
      </c>
      <c r="G237" s="85">
        <v>8.0820000000000006E-3</v>
      </c>
      <c r="H237" s="85">
        <v>3.7046000000000003E-2</v>
      </c>
      <c r="I237" s="85">
        <v>1.7794000000000001E-2</v>
      </c>
      <c r="J237" s="85">
        <v>3.5664000000000001E-2</v>
      </c>
      <c r="K237" s="85">
        <v>2.9864999999999999E-2</v>
      </c>
    </row>
    <row r="238" spans="1:11" ht="15" customHeight="1" x14ac:dyDescent="0.2">
      <c r="A238" s="17">
        <v>45418</v>
      </c>
      <c r="B238" s="85">
        <v>3.1799999999999998E-4</v>
      </c>
      <c r="C238" s="85">
        <v>-3.3430000000000001E-2</v>
      </c>
      <c r="D238" s="85">
        <v>-2.2506000000000002E-2</v>
      </c>
      <c r="E238" s="85">
        <v>1.5013E-2</v>
      </c>
      <c r="F238" s="85">
        <v>-3.2146000000000001E-2</v>
      </c>
      <c r="G238" s="85">
        <v>5.3709999999999999E-3</v>
      </c>
      <c r="H238" s="85">
        <v>-1.7363E-2</v>
      </c>
      <c r="I238" s="85">
        <v>8.7799999999999996E-3</v>
      </c>
      <c r="J238" s="85">
        <v>1.7658E-2</v>
      </c>
      <c r="K238" s="85">
        <v>-6.692E-3</v>
      </c>
    </row>
    <row r="239" spans="1:11" ht="15" customHeight="1" x14ac:dyDescent="0.2">
      <c r="A239" s="17">
        <v>45419</v>
      </c>
      <c r="B239" s="85">
        <v>-4.0340000000000003E-3</v>
      </c>
      <c r="C239" s="85">
        <v>1.2669E-2</v>
      </c>
      <c r="D239" s="85">
        <v>-5.9550000000000002E-3</v>
      </c>
      <c r="E239" s="85">
        <v>5.7099999999999998E-3</v>
      </c>
      <c r="F239" s="85">
        <v>-5.4066999999999997E-2</v>
      </c>
      <c r="G239" s="85">
        <v>-2.6819999999999999E-3</v>
      </c>
      <c r="H239" s="85">
        <v>-1.5690000000000001E-3</v>
      </c>
      <c r="I239" s="85">
        <v>5.2310000000000004E-3</v>
      </c>
      <c r="J239" s="85">
        <v>-2.3614E-2</v>
      </c>
      <c r="K239" s="85">
        <v>-4.9383000000000003E-2</v>
      </c>
    </row>
    <row r="240" spans="1:11" ht="15" customHeight="1" x14ac:dyDescent="0.2">
      <c r="A240" s="17">
        <v>45420</v>
      </c>
      <c r="B240" s="85">
        <v>7.9469999999999992E-3</v>
      </c>
      <c r="C240" s="85">
        <v>1.8017999999999999E-2</v>
      </c>
      <c r="D240" s="85">
        <v>-2.2145000000000001E-2</v>
      </c>
      <c r="E240" s="85">
        <v>4.2900000000000004E-3</v>
      </c>
      <c r="F240" s="85">
        <v>2.0854000000000001E-2</v>
      </c>
      <c r="G240" s="85">
        <v>-2.689E-3</v>
      </c>
      <c r="H240" s="85">
        <v>-1.8586999999999999E-2</v>
      </c>
      <c r="I240" s="85">
        <v>2.2356999999999998E-2</v>
      </c>
      <c r="J240" s="85">
        <v>-1.1415E-2</v>
      </c>
      <c r="K240" s="85">
        <v>2.4870000000000001E-3</v>
      </c>
    </row>
    <row r="241" spans="1:11" ht="15" customHeight="1" x14ac:dyDescent="0.2">
      <c r="A241" s="17">
        <v>45421</v>
      </c>
      <c r="B241" s="85">
        <v>-1.0717000000000001E-2</v>
      </c>
      <c r="C241" s="85">
        <v>-8.9689999999999995E-3</v>
      </c>
      <c r="D241" s="85">
        <v>-0.13549600000000001</v>
      </c>
      <c r="E241" s="85">
        <v>-1.9949999999999998E-3</v>
      </c>
      <c r="F241" s="85">
        <v>-5.0009999999999999E-2</v>
      </c>
      <c r="G241" s="85">
        <v>0</v>
      </c>
      <c r="H241" s="85">
        <v>1.2663000000000001E-2</v>
      </c>
      <c r="I241" s="85">
        <v>-2.0618999999999998E-2</v>
      </c>
      <c r="J241" s="85">
        <v>-3.3173000000000001E-2</v>
      </c>
      <c r="K241" s="85">
        <v>-0.107847</v>
      </c>
    </row>
    <row r="242" spans="1:11" ht="15" customHeight="1" x14ac:dyDescent="0.2">
      <c r="A242" s="17">
        <v>45422</v>
      </c>
      <c r="B242" s="85">
        <v>-4.8659999999999997E-3</v>
      </c>
      <c r="C242" s="85">
        <v>8.9689999999999995E-3</v>
      </c>
      <c r="D242" s="85">
        <v>5.8110000000000002E-3</v>
      </c>
      <c r="E242" s="85">
        <v>9.3200000000000002E-3</v>
      </c>
      <c r="F242" s="85">
        <v>6.4907999999999993E-2</v>
      </c>
      <c r="G242" s="85">
        <v>1.8644999999999998E-2</v>
      </c>
      <c r="H242" s="85">
        <v>5.7800000000000004E-3</v>
      </c>
      <c r="I242" s="85">
        <v>8.6429999999999996E-3</v>
      </c>
      <c r="J242" s="85">
        <v>-1.5737999999999999E-2</v>
      </c>
      <c r="K242" s="85">
        <v>4.5073000000000002E-2</v>
      </c>
    </row>
    <row r="243" spans="1:11" ht="15" customHeight="1" x14ac:dyDescent="0.2">
      <c r="A243" s="17">
        <v>45425</v>
      </c>
      <c r="B243" s="85">
        <v>2.676E-3</v>
      </c>
      <c r="C243" s="85">
        <v>-2.7499999999999998E-3</v>
      </c>
      <c r="D243" s="85">
        <v>4.5860999999999999E-2</v>
      </c>
      <c r="E243" s="85">
        <v>-4.7629999999999999E-3</v>
      </c>
      <c r="F243" s="85">
        <v>6.7882999999999999E-2</v>
      </c>
      <c r="G243" s="85">
        <v>3.6278999999999999E-2</v>
      </c>
      <c r="H243" s="85">
        <v>1.0531E-2</v>
      </c>
      <c r="I243" s="85">
        <v>3.3843999999999999E-2</v>
      </c>
      <c r="J243" s="85">
        <v>-8.9230000000000004E-3</v>
      </c>
      <c r="K243" s="85">
        <v>1.4873000000000001E-2</v>
      </c>
    </row>
    <row r="244" spans="1:11" ht="15" customHeight="1" x14ac:dyDescent="0.2">
      <c r="A244" s="17">
        <v>45426</v>
      </c>
      <c r="B244" s="85">
        <v>-5.79E-3</v>
      </c>
      <c r="C244" s="85">
        <v>2.3144000000000001E-2</v>
      </c>
      <c r="D244" s="85">
        <v>0.111429</v>
      </c>
      <c r="E244" s="85">
        <v>-2.2800000000000001E-4</v>
      </c>
      <c r="F244" s="85">
        <v>-8.2780999999999993E-2</v>
      </c>
      <c r="G244" s="85">
        <v>-1.5383000000000001E-2</v>
      </c>
      <c r="H244" s="85">
        <v>3.5209999999999998E-2</v>
      </c>
      <c r="I244" s="85">
        <v>4.9789999999999999E-3</v>
      </c>
      <c r="J244" s="85">
        <v>3.7075999999999998E-2</v>
      </c>
      <c r="K244" s="85">
        <v>-2.8629999999999999E-2</v>
      </c>
    </row>
    <row r="245" spans="1:11" ht="15" customHeight="1" x14ac:dyDescent="0.2">
      <c r="A245" s="17">
        <v>45427</v>
      </c>
      <c r="B245" s="85">
        <v>-1.277E-2</v>
      </c>
      <c r="C245" s="85">
        <v>2.6870000000000002E-3</v>
      </c>
      <c r="D245" s="85">
        <v>-2.7605000000000001E-2</v>
      </c>
      <c r="E245" s="85">
        <v>-4.9020000000000001E-3</v>
      </c>
      <c r="F245" s="85">
        <v>-1.3220000000000001E-2</v>
      </c>
      <c r="G245" s="85">
        <v>2.5850000000000001E-3</v>
      </c>
      <c r="H245" s="85">
        <v>-2.8670000000000002E-3</v>
      </c>
      <c r="I245" s="85">
        <v>-6.6449999999999999E-3</v>
      </c>
      <c r="J245" s="85">
        <v>-1.179E-2</v>
      </c>
      <c r="K245" s="85">
        <v>-1.3043000000000001E-2</v>
      </c>
    </row>
    <row r="246" spans="1:11" ht="15" customHeight="1" x14ac:dyDescent="0.2">
      <c r="A246" s="17">
        <v>45428</v>
      </c>
      <c r="B246" s="85">
        <v>5.8100000000000001E-3</v>
      </c>
      <c r="C246" s="85">
        <v>6.6930000000000002E-3</v>
      </c>
      <c r="D246" s="85">
        <v>-1.023E-2</v>
      </c>
      <c r="E246" s="85">
        <v>1.7180999999999998E-2</v>
      </c>
      <c r="F246" s="85">
        <v>3.7950000000000002E-3</v>
      </c>
      <c r="G246" s="85">
        <v>7.6880000000000004E-3</v>
      </c>
      <c r="H246" s="85">
        <v>-2.0126000000000002E-2</v>
      </c>
      <c r="I246" s="85">
        <v>4.9880000000000002E-3</v>
      </c>
      <c r="J246" s="85">
        <v>1.8710000000000001E-3</v>
      </c>
      <c r="K246" s="85">
        <v>-1.9196000000000001E-2</v>
      </c>
    </row>
    <row r="247" spans="1:11" ht="15" customHeight="1" x14ac:dyDescent="0.2">
      <c r="A247" s="17">
        <v>45429</v>
      </c>
      <c r="B247" s="85">
        <v>-6.3E-3</v>
      </c>
      <c r="C247" s="85">
        <v>7.0149000000000003E-2</v>
      </c>
      <c r="D247" s="85">
        <v>0.13763600000000001</v>
      </c>
      <c r="E247" s="85">
        <v>3.1257E-2</v>
      </c>
      <c r="F247" s="85">
        <v>-1.1429E-2</v>
      </c>
      <c r="G247" s="85">
        <v>-2.5897E-2</v>
      </c>
      <c r="H247" s="85">
        <v>2.4577999999999999E-2</v>
      </c>
      <c r="I247" s="85">
        <v>3.4233E-2</v>
      </c>
      <c r="J247" s="85">
        <v>2.3400000000000001E-2</v>
      </c>
      <c r="K247" s="85">
        <v>-1.8631000000000002E-2</v>
      </c>
    </row>
    <row r="248" spans="1:11" ht="15" customHeight="1" x14ac:dyDescent="0.2">
      <c r="A248" s="17">
        <v>45432</v>
      </c>
      <c r="B248" s="85">
        <v>-2.127E-3</v>
      </c>
      <c r="C248" s="85">
        <v>6.8139999999999997E-3</v>
      </c>
      <c r="D248" s="85">
        <v>-4.4430999999999998E-2</v>
      </c>
      <c r="E248" s="85">
        <v>1.5162E-2</v>
      </c>
      <c r="F248" s="85">
        <v>5.731E-3</v>
      </c>
      <c r="G248" s="85">
        <v>7.8289999999999992E-3</v>
      </c>
      <c r="H248" s="85">
        <v>6.3730000000000002E-3</v>
      </c>
      <c r="I248" s="85">
        <v>-1.2903E-2</v>
      </c>
      <c r="J248" s="85">
        <v>-4.9917000000000003E-2</v>
      </c>
      <c r="K248" s="85">
        <v>-3.3950000000000001E-2</v>
      </c>
    </row>
    <row r="249" spans="1:11" ht="15" customHeight="1" x14ac:dyDescent="0.2">
      <c r="A249" s="17">
        <v>45433</v>
      </c>
      <c r="B249" s="85">
        <v>-1.0900000000000001E-4</v>
      </c>
      <c r="C249" s="85">
        <v>-3.4542000000000003E-2</v>
      </c>
      <c r="D249" s="85">
        <v>-5.1659999999999996E-3</v>
      </c>
      <c r="E249" s="85">
        <v>-1.5708E-2</v>
      </c>
      <c r="F249" s="85">
        <v>-1.9070000000000001E-3</v>
      </c>
      <c r="G249" s="85">
        <v>2.8263E-2</v>
      </c>
      <c r="H249" s="85">
        <v>-4.5820000000000001E-3</v>
      </c>
      <c r="I249" s="85">
        <v>-3.9739999999999998E-2</v>
      </c>
      <c r="J249" s="85">
        <v>1.7756000000000001E-2</v>
      </c>
      <c r="K249" s="85">
        <v>-5.365E-3</v>
      </c>
    </row>
    <row r="250" spans="1:11" ht="15" customHeight="1" x14ac:dyDescent="0.2">
      <c r="A250" s="17">
        <v>45434</v>
      </c>
      <c r="B250" s="85">
        <v>-1.1423000000000001E-2</v>
      </c>
      <c r="C250" s="85">
        <v>-5.7195999999999997E-2</v>
      </c>
      <c r="D250" s="85">
        <v>-5.6161999999999997E-2</v>
      </c>
      <c r="E250" s="85">
        <v>-7.5230000000000002E-3</v>
      </c>
      <c r="F250" s="85">
        <v>-8.7706000000000006E-2</v>
      </c>
      <c r="G250" s="85">
        <v>-2.5658E-2</v>
      </c>
      <c r="H250" s="85">
        <v>8.9107000000000006E-2</v>
      </c>
      <c r="I250" s="85">
        <v>-1.8755999999999998E-2</v>
      </c>
      <c r="J250" s="85">
        <v>-4.6968999999999997E-2</v>
      </c>
      <c r="K250" s="85">
        <v>-4.2452999999999998E-2</v>
      </c>
    </row>
    <row r="251" spans="1:11" ht="15" customHeight="1" x14ac:dyDescent="0.2">
      <c r="A251" s="17">
        <v>45435</v>
      </c>
      <c r="B251" s="85">
        <v>-1.658E-3</v>
      </c>
      <c r="C251" s="85">
        <v>2.3404999999999999E-2</v>
      </c>
      <c r="D251" s="85">
        <v>5.4747999999999998E-2</v>
      </c>
      <c r="E251" s="85">
        <v>1.728E-2</v>
      </c>
      <c r="F251" s="85">
        <v>6.2310000000000004E-3</v>
      </c>
      <c r="G251" s="85">
        <v>0</v>
      </c>
      <c r="H251" s="85">
        <v>2.5398E-2</v>
      </c>
      <c r="I251" s="85">
        <v>-6.9080000000000001E-3</v>
      </c>
      <c r="J251" s="85">
        <v>2.6319999999999998E-3</v>
      </c>
      <c r="K251" s="85">
        <v>-1.0257E-2</v>
      </c>
    </row>
    <row r="252" spans="1:11" ht="15" customHeight="1" x14ac:dyDescent="0.2">
      <c r="A252" s="17">
        <v>45436</v>
      </c>
      <c r="B252" s="18">
        <v>1.8075000000000001</v>
      </c>
      <c r="C252" s="18">
        <v>0.15060399999999999</v>
      </c>
      <c r="D252" s="18">
        <v>0.21210000000000001</v>
      </c>
      <c r="E252" s="18">
        <v>0.64675000000000005</v>
      </c>
      <c r="F252" s="18">
        <v>4.8300000000000003E-2</v>
      </c>
      <c r="G252" s="18">
        <v>3.6899000000000001E-2</v>
      </c>
      <c r="H252" s="18">
        <v>1.06409</v>
      </c>
      <c r="I252" s="18">
        <v>5.7700000000000001E-2</v>
      </c>
      <c r="J252" s="18">
        <v>0.1522</v>
      </c>
      <c r="K252" s="18">
        <v>0.19400000000000001</v>
      </c>
    </row>
    <row r="253" spans="1:11" ht="15" x14ac:dyDescent="0.2">
      <c r="A253"/>
      <c r="B253" s="19"/>
      <c r="C253" s="19"/>
      <c r="D253" s="19"/>
      <c r="E253" s="19"/>
      <c r="F253" s="19"/>
      <c r="G253" s="19"/>
      <c r="H253" s="19"/>
      <c r="I253" s="19"/>
      <c r="J253" s="19"/>
      <c r="K253" s="19"/>
    </row>
  </sheetData>
  <pageMargins left="0.7" right="0.7" top="0.75" bottom="0.75" header="0.511811023622047" footer="0.511811023622047"/>
  <pageSetup paperSize="9" orientation="portrait" horizontalDpi="300" verticalDpi="300"/>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V289"/>
  <sheetViews>
    <sheetView showGridLines="0" zoomScaleNormal="100" workbookViewId="0">
      <selection sqref="A1:L1"/>
    </sheetView>
  </sheetViews>
  <sheetFormatPr baseColWidth="10" defaultColWidth="9.1640625" defaultRowHeight="14" x14ac:dyDescent="0.15"/>
  <cols>
    <col min="1" max="3" width="14" style="20" customWidth="1"/>
    <col min="4" max="4" width="23.1640625" style="20" bestFit="1" customWidth="1"/>
    <col min="5" max="5" width="17.6640625" style="20" customWidth="1"/>
    <col min="6" max="10" width="14" style="20" customWidth="1"/>
    <col min="11" max="11" width="9.83203125" style="20" bestFit="1" customWidth="1"/>
    <col min="12" max="12" width="20" style="20" customWidth="1"/>
    <col min="13" max="14" width="14" style="20" customWidth="1"/>
    <col min="15" max="15" width="14.1640625" style="20" customWidth="1"/>
    <col min="16" max="16" width="15.5" style="20" customWidth="1"/>
    <col min="17" max="17" width="12.5" style="20" customWidth="1"/>
    <col min="18" max="18" width="11.5" style="20" customWidth="1"/>
    <col min="19" max="19" width="4.5" style="20" customWidth="1"/>
    <col min="20" max="20" width="9.1640625" style="20"/>
    <col min="21" max="21" width="15.5" style="20" bestFit="1" customWidth="1"/>
    <col min="22" max="22" width="11.5" style="20" customWidth="1"/>
    <col min="23" max="16384" width="9.1640625" style="20"/>
  </cols>
  <sheetData>
    <row r="1" spans="1:22" ht="24" customHeight="1" x14ac:dyDescent="0.15">
      <c r="A1" s="103" t="s">
        <v>182</v>
      </c>
      <c r="B1" s="103"/>
      <c r="C1" s="103"/>
      <c r="D1" s="103"/>
      <c r="E1" s="103"/>
      <c r="F1" s="103"/>
      <c r="G1" s="103"/>
      <c r="H1" s="103"/>
      <c r="I1" s="103"/>
      <c r="J1" s="103"/>
      <c r="K1" s="103"/>
      <c r="L1" s="103"/>
    </row>
    <row r="3" spans="1:22" x14ac:dyDescent="0.15">
      <c r="L3" s="66"/>
    </row>
    <row r="5" spans="1:22" ht="16.5" customHeight="1" x14ac:dyDescent="0.2">
      <c r="A5" s="36" t="s">
        <v>183</v>
      </c>
      <c r="F5" s="36" t="s">
        <v>184</v>
      </c>
      <c r="P5" s="67" t="s">
        <v>185</v>
      </c>
      <c r="Q5" s="67" t="s">
        <v>186</v>
      </c>
      <c r="R5" s="67" t="s">
        <v>187</v>
      </c>
      <c r="S5" s="67" t="s">
        <v>188</v>
      </c>
      <c r="U5" s="67" t="s">
        <v>189</v>
      </c>
      <c r="V5" s="67" t="s">
        <v>190</v>
      </c>
    </row>
    <row r="6" spans="1:22" x14ac:dyDescent="0.15">
      <c r="A6" s="39" t="s">
        <v>191</v>
      </c>
      <c r="B6" s="68">
        <v>2500000</v>
      </c>
      <c r="P6" s="20">
        <f t="shared" ref="P6:P69" si="0">SMALL($B$23:$B$274,ROW()-5)</f>
        <v>-4.4077500000000006E-2</v>
      </c>
      <c r="Q6" s="20">
        <f t="shared" ref="Q6:Q69" si="1">-$E$26/$B$6</f>
        <v>-3.8743025999999993E-2</v>
      </c>
      <c r="R6" s="20">
        <f t="shared" ref="R6:R69" si="2">-$E$27/$B$6</f>
        <v>-4.1908366666666669E-2</v>
      </c>
      <c r="S6" s="20">
        <v>1</v>
      </c>
      <c r="U6" s="45">
        <f>MIN(B23:B274)</f>
        <v>-4.4077500000000006E-2</v>
      </c>
      <c r="V6" s="20">
        <f>COUNTIFS($B$23:$B$272,"&lt;="&amp;U6)</f>
        <v>1</v>
      </c>
    </row>
    <row r="7" spans="1:22" x14ac:dyDescent="0.15">
      <c r="A7" s="39" t="s">
        <v>192</v>
      </c>
      <c r="B7" s="69">
        <v>0.99</v>
      </c>
      <c r="P7" s="20">
        <f t="shared" si="0"/>
        <v>-4.1413700000000005E-2</v>
      </c>
      <c r="Q7" s="20">
        <f t="shared" si="1"/>
        <v>-3.8743025999999993E-2</v>
      </c>
      <c r="R7" s="20">
        <f t="shared" si="2"/>
        <v>-4.1908366666666669E-2</v>
      </c>
      <c r="S7" s="20">
        <v>2</v>
      </c>
      <c r="U7" s="45">
        <f t="shared" ref="U7:U25" si="3">U6+(MAX($B$23:$B$272)-MIN($B$23:$B$272))/19</f>
        <v>-3.8898694736842113E-2</v>
      </c>
      <c r="V7" s="20">
        <f t="shared" ref="V7:V17" si="4">COUNTIFS($B$23:$B$272,"&gt;"&amp;U6,$B$23:$B$272,"&lt;="&amp;U7)</f>
        <v>2</v>
      </c>
    </row>
    <row r="8" spans="1:22" x14ac:dyDescent="0.15">
      <c r="A8" s="39" t="s">
        <v>193</v>
      </c>
      <c r="B8" s="70">
        <v>10</v>
      </c>
      <c r="P8" s="20">
        <f t="shared" si="0"/>
        <v>-4.0233899999999996E-2</v>
      </c>
      <c r="Q8" s="20">
        <f t="shared" si="1"/>
        <v>-3.8743025999999993E-2</v>
      </c>
      <c r="R8" s="20">
        <f t="shared" si="2"/>
        <v>-4.1908366666666669E-2</v>
      </c>
      <c r="S8" s="20">
        <v>3</v>
      </c>
      <c r="U8" s="45">
        <f t="shared" si="3"/>
        <v>-3.371988947368422E-2</v>
      </c>
      <c r="V8" s="20">
        <f t="shared" si="4"/>
        <v>7</v>
      </c>
    </row>
    <row r="9" spans="1:22" x14ac:dyDescent="0.15">
      <c r="P9" s="20">
        <f t="shared" si="0"/>
        <v>-3.7191299999999997E-2</v>
      </c>
      <c r="Q9" s="20">
        <f t="shared" si="1"/>
        <v>-3.8743025999999993E-2</v>
      </c>
      <c r="R9" s="20">
        <f t="shared" si="2"/>
        <v>-4.1908366666666669E-2</v>
      </c>
      <c r="S9" s="20">
        <v>4</v>
      </c>
      <c r="U9" s="45">
        <f t="shared" si="3"/>
        <v>-2.8541084210526323E-2</v>
      </c>
      <c r="V9" s="20">
        <f t="shared" si="4"/>
        <v>6</v>
      </c>
    </row>
    <row r="10" spans="1:22" x14ac:dyDescent="0.15">
      <c r="A10" s="41" t="s">
        <v>194</v>
      </c>
      <c r="B10" s="41" t="s">
        <v>195</v>
      </c>
      <c r="C10" s="41" t="s">
        <v>196</v>
      </c>
      <c r="D10" s="41" t="s">
        <v>197</v>
      </c>
      <c r="F10" s="41" t="s">
        <v>171</v>
      </c>
      <c r="G10" s="41" t="s">
        <v>172</v>
      </c>
      <c r="H10" s="41" t="s">
        <v>173</v>
      </c>
      <c r="I10" s="41" t="s">
        <v>174</v>
      </c>
      <c r="J10" s="41" t="s">
        <v>175</v>
      </c>
      <c r="K10" s="41" t="s">
        <v>176</v>
      </c>
      <c r="L10" s="71" t="s">
        <v>177</v>
      </c>
      <c r="M10" s="72" t="s">
        <v>178</v>
      </c>
      <c r="N10" s="72" t="s">
        <v>179</v>
      </c>
      <c r="O10" s="72" t="s">
        <v>180</v>
      </c>
      <c r="P10" s="20">
        <f t="shared" si="0"/>
        <v>-3.671E-2</v>
      </c>
      <c r="Q10" s="20">
        <f t="shared" si="1"/>
        <v>-3.8743025999999993E-2</v>
      </c>
      <c r="R10" s="20">
        <f t="shared" si="2"/>
        <v>-4.1908366666666669E-2</v>
      </c>
      <c r="S10" s="20">
        <v>5</v>
      </c>
      <c r="U10" s="73">
        <f t="shared" si="3"/>
        <v>-2.3362278947368427E-2</v>
      </c>
      <c r="V10" s="41">
        <f t="shared" si="4"/>
        <v>8</v>
      </c>
    </row>
    <row r="11" spans="1:22" ht="15" customHeight="1" x14ac:dyDescent="0.15">
      <c r="A11" s="41" t="s">
        <v>171</v>
      </c>
      <c r="B11" s="74">
        <v>0.1</v>
      </c>
      <c r="C11" s="45">
        <f>AVERAGE(Q6_ii_RawData!B2:B251)</f>
        <v>1.6348199999999991E-3</v>
      </c>
      <c r="D11" s="45">
        <f>_xlfn.SINGLE(_xlfn.STDEV.S(Q6_ii_RawData!B2:B251))</f>
        <v>1.7629283759104799E-2</v>
      </c>
      <c r="E11" s="41" t="s">
        <v>171</v>
      </c>
      <c r="F11" s="75">
        <f>_xlfn.SINGLE(_xlfn.COVARIANCE.S(Q6_ii_RawData!B2:B251, Q6_ii_RawData!B2:B251))</f>
        <v>3.1079164585903627E-4</v>
      </c>
      <c r="G11" s="75">
        <f>_xlfn.SINGLE(_xlfn.COVARIANCE.S(Q6_ii_RawData!B2:B251, Q6_ii_RawData!C2:C251))</f>
        <v>1.0038919546730916E-4</v>
      </c>
      <c r="H11" s="75">
        <f>_xlfn.SINGLE(_xlfn.COVARIANCE.S(Q6_ii_RawData!B2:B251, Q6_ii_RawData!D2:D251))</f>
        <v>2.1949827733325295E-4</v>
      </c>
      <c r="I11" s="75">
        <f>_xlfn.SINGLE(_xlfn.COVARIANCE.S(Q6_ii_RawData!B2:B251, Q6_ii_RawData!E2:E251))</f>
        <v>1.3242790300738958E-4</v>
      </c>
      <c r="J11" s="75">
        <f>_xlfn.SINGLE(_xlfn.COVARIANCE.S(Q6_ii_RawData!B2:B251, Q6_ii_RawData!F2:F251))</f>
        <v>1.3559154043534137E-4</v>
      </c>
      <c r="K11" s="75">
        <f>_xlfn.SINGLE(_xlfn.COVARIANCE.S(Q6_ii_RawData!B2:B251, Q6_ii_RawData!G2:G251))</f>
        <v>6.3030720866987953E-5</v>
      </c>
      <c r="L11" s="75">
        <f>_xlfn.SINGLE(_xlfn.COVARIANCE.S(Q6_ii_RawData!B2:B251, Q6_ii_RawData!H2:H251))</f>
        <v>2.431713658918876E-4</v>
      </c>
      <c r="M11" s="87">
        <f>_xlfn.SINGLE(_xlfn.COVARIANCE.S(Q6_ii_RawData!B2:B251, Q6_ii_RawData!I2:I251))</f>
        <v>4.2471325412369469E-5</v>
      </c>
      <c r="N11" s="76">
        <f>_xlfn.SINGLE(_xlfn.COVARIANCE.S(Q6_ii_RawData!B2:B251, Q6_ii_RawData!J2:J251))</f>
        <v>1.9625789211236938E-4</v>
      </c>
      <c r="O11" s="76">
        <f>_xlfn.SINGLE(_xlfn.COVARIANCE.S(Q6_ii_RawData!B2:B251, Q6_ii_RawData!K2:K251))</f>
        <v>1.8741343038369474E-4</v>
      </c>
      <c r="P11" s="20">
        <f t="shared" si="0"/>
        <v>-3.6235500000000004E-2</v>
      </c>
      <c r="Q11" s="20">
        <f t="shared" si="1"/>
        <v>-3.8743025999999993E-2</v>
      </c>
      <c r="R11" s="20">
        <f t="shared" si="2"/>
        <v>-4.1908366666666669E-2</v>
      </c>
      <c r="S11" s="20">
        <v>6</v>
      </c>
      <c r="U11" s="77">
        <f t="shared" si="3"/>
        <v>-1.8183473684210531E-2</v>
      </c>
      <c r="V11" s="77">
        <f t="shared" si="4"/>
        <v>16</v>
      </c>
    </row>
    <row r="12" spans="1:22" ht="15" customHeight="1" x14ac:dyDescent="0.15">
      <c r="A12" s="41" t="s">
        <v>172</v>
      </c>
      <c r="B12" s="74">
        <v>0.1</v>
      </c>
      <c r="C12" s="45">
        <f>AVERAGE(Q6_ii_RawData!C2:C251)</f>
        <v>1.174608000000001E-3</v>
      </c>
      <c r="D12" s="45">
        <f>_xlfn.SINGLE(_xlfn.STDEV.S(Q6_ii_RawData!C2:C251))</f>
        <v>2.8708835929169396E-2</v>
      </c>
      <c r="E12" s="41" t="s">
        <v>172</v>
      </c>
      <c r="F12" s="75">
        <f>_xlfn.SINGLE(_xlfn.COVARIANCE.S(Q6_ii_RawData!C2:C251,Q6_ii_RawData!B2:B251))</f>
        <v>1.0038919546730916E-4</v>
      </c>
      <c r="G12" s="75">
        <f>_xlfn.SINGLE(_xlfn.COVARIANCE.S(Q6_ii_RawData!C2:C251, Q6_ii_RawData!C2:C251))</f>
        <v>8.2419726040796769E-4</v>
      </c>
      <c r="H12" s="75">
        <f>_xlfn.SINGLE(_xlfn.COVARIANCE.S(Q6_ii_RawData!C2:C251, Q6_ii_RawData!D2:D251))</f>
        <v>6.0340369068237736E-4</v>
      </c>
      <c r="I12" s="75">
        <f>_xlfn.SINGLE(_xlfn.COVARIANCE.S(Q6_ii_RawData!C2:C251, Q6_ii_RawData!E2:E251))</f>
        <v>1.5426641268793579E-4</v>
      </c>
      <c r="J12" s="75">
        <f>_xlfn.SINGLE(_xlfn.COVARIANCE.S(Q6_ii_RawData!C2:C251, Q6_ii_RawData!F2:F251))</f>
        <v>4.1093390489943744E-4</v>
      </c>
      <c r="K12" s="75">
        <f>_xlfn.SINGLE(_xlfn.COVARIANCE.S(Q6_ii_RawData!C2:C251, Q6_ii_RawData!G2:G251))</f>
        <v>1.3405126485651405E-4</v>
      </c>
      <c r="L12" s="75">
        <f>_xlfn.SINGLE(_xlfn.COVARIANCE.S(Q6_ii_RawData!C2:C251, Q6_ii_RawData!H2:H251))</f>
        <v>1.759723592704897E-4</v>
      </c>
      <c r="M12" s="76">
        <f>_xlfn.SINGLE(_xlfn.COVARIANCE.S(Q6_ii_RawData!C2:C251, Q6_ii_RawData!I2:I251))</f>
        <v>1.1180854717828114E-4</v>
      </c>
      <c r="N12" s="76">
        <f>_xlfn.SINGLE(_xlfn.COVARIANCE.S(Q6_ii_RawData!C2:C251, Q6_ii_RawData!J2:J251))</f>
        <v>2.5006189408478726E-4</v>
      </c>
      <c r="O12" s="76">
        <f>_xlfn.SINGLE(_xlfn.COVARIANCE.S(Q6_ii_RawData!C2:C251, Q6_ii_RawData!K2:K251))</f>
        <v>3.5430621774287536E-4</v>
      </c>
      <c r="P12" s="20">
        <f t="shared" si="0"/>
        <v>-3.6201499999999998E-2</v>
      </c>
      <c r="Q12" s="20">
        <f t="shared" si="1"/>
        <v>-3.8743025999999993E-2</v>
      </c>
      <c r="R12" s="20">
        <f t="shared" si="2"/>
        <v>-4.1908366666666669E-2</v>
      </c>
      <c r="S12" s="20">
        <v>7</v>
      </c>
      <c r="U12" s="77">
        <f t="shared" si="3"/>
        <v>-1.3004668421052634E-2</v>
      </c>
      <c r="V12" s="77">
        <f t="shared" si="4"/>
        <v>18</v>
      </c>
    </row>
    <row r="13" spans="1:22" ht="15" customHeight="1" x14ac:dyDescent="0.15">
      <c r="A13" s="41" t="s">
        <v>173</v>
      </c>
      <c r="B13" s="74">
        <v>0.1</v>
      </c>
      <c r="C13" s="45">
        <f>AVERAGE(Q6_ii_RawData!D2:D251)</f>
        <v>3.4602440000000012E-3</v>
      </c>
      <c r="D13" s="45">
        <f>_xlfn.SINGLE(_xlfn.STDEV.S(Q6_ii_RawData!D2:D251))</f>
        <v>6.8574079775061164E-2</v>
      </c>
      <c r="E13" s="41" t="s">
        <v>173</v>
      </c>
      <c r="F13" s="75">
        <f>_xlfn.SINGLE(_xlfn.COVARIANCE.S(Q6_ii_RawData!D2:D251,Q6_ii_RawData!B2:B251))</f>
        <v>2.1949827733325295E-4</v>
      </c>
      <c r="G13" s="75">
        <f>_xlfn.SINGLE(_xlfn.COVARIANCE.S(Q6_ii_RawData!D2:D251, Q6_ii_RawData!C2:C251))</f>
        <v>6.0340369068237736E-4</v>
      </c>
      <c r="H13" s="75">
        <f>_xlfn.SINGLE(_xlfn.COVARIANCE.S(Q6_ii_RawData!D2:D251, Q6_ii_RawData!D2:D251))</f>
        <v>4.702404416996449E-3</v>
      </c>
      <c r="I13" s="75">
        <f>_xlfn.SINGLE(_xlfn.COVARIANCE.S(Q6_ii_RawData!D2:D251, Q6_ii_RawData!E2:E251))</f>
        <v>2.8369865099971077E-4</v>
      </c>
      <c r="J13" s="75">
        <f>_xlfn.SINGLE(_xlfn.COVARIANCE.S(Q6_ii_RawData!D2:D251, Q6_ii_RawData!F2:F251))</f>
        <v>5.5601937692883563E-4</v>
      </c>
      <c r="K13" s="75">
        <f>_xlfn.SINGLE(_xlfn.COVARIANCE.S(Q6_ii_RawData!D2:D251, Q6_ii_RawData!G2:G251))</f>
        <v>2.8223886118110844E-4</v>
      </c>
      <c r="L13" s="75">
        <f>_xlfn.SINGLE(_xlfn.COVARIANCE.S(Q6_ii_RawData!D2:D251, Q6_ii_RawData!H2:H251))</f>
        <v>3.3211200311058657E-4</v>
      </c>
      <c r="M13" s="76">
        <f>_xlfn.SINGLE(_xlfn.COVARIANCE.S(Q6_ii_RawData!D2:D251, Q6_ii_RawData!I2:I251))</f>
        <v>4.5456532664359865E-4</v>
      </c>
      <c r="N13" s="76">
        <f>_xlfn.SINGLE(_xlfn.COVARIANCE.S(Q6_ii_RawData!D2:D251, Q6_ii_RawData!J2:J251))</f>
        <v>4.3216920058520479E-4</v>
      </c>
      <c r="O13" s="76">
        <f>_xlfn.SINGLE(_xlfn.COVARIANCE.S(Q6_ii_RawData!D2:D251, Q6_ii_RawData!K2:K251))</f>
        <v>9.0792674358099624E-4</v>
      </c>
      <c r="P13" s="20">
        <f t="shared" si="0"/>
        <v>-3.5616299999999997E-2</v>
      </c>
      <c r="Q13" s="20">
        <f t="shared" si="1"/>
        <v>-3.8743025999999993E-2</v>
      </c>
      <c r="R13" s="20">
        <f t="shared" si="2"/>
        <v>-4.1908366666666669E-2</v>
      </c>
      <c r="S13" s="20">
        <v>8</v>
      </c>
      <c r="U13" s="77">
        <f t="shared" si="3"/>
        <v>-7.8258631578947378E-3</v>
      </c>
      <c r="V13" s="77">
        <f t="shared" si="4"/>
        <v>20</v>
      </c>
    </row>
    <row r="14" spans="1:22" ht="15" customHeight="1" x14ac:dyDescent="0.15">
      <c r="A14" s="41" t="s">
        <v>174</v>
      </c>
      <c r="B14" s="74">
        <v>0.1</v>
      </c>
      <c r="C14" s="45">
        <f>AVERAGE(Q6_ii_RawData!E2:E251)</f>
        <v>2.138952E-3</v>
      </c>
      <c r="D14" s="45">
        <f>_xlfn.SINGLE(_xlfn.STDEV.S(Q6_ii_RawData!E2:E251))</f>
        <v>2.1911126661951462E-2</v>
      </c>
      <c r="E14" s="41" t="s">
        <v>174</v>
      </c>
      <c r="F14" s="75">
        <f>_xlfn.SINGLE(_xlfn.COVARIANCE.S(Q6_ii_RawData!E2:E251,Q6_ii_RawData!B2:B251))</f>
        <v>1.3242790300738958E-4</v>
      </c>
      <c r="G14" s="75">
        <f>_xlfn.SINGLE(_xlfn.COVARIANCE.S(Q6_ii_RawData!E2:E251, Q6_ii_RawData!C2:C251))</f>
        <v>1.5426641268793579E-4</v>
      </c>
      <c r="H14" s="75">
        <f>_xlfn.SINGLE(_xlfn.COVARIANCE.S(Q6_ii_RawData!E2:E251, Q6_ii_RawData!D2:D251))</f>
        <v>2.8369865099971077E-4</v>
      </c>
      <c r="I14" s="75">
        <f>_xlfn.SINGLE(_xlfn.COVARIANCE.S(Q6_ii_RawData!E2:E251, Q6_ii_RawData!E2:E251))</f>
        <v>4.8009747159608008E-4</v>
      </c>
      <c r="J14" s="75">
        <f>_xlfn.SINGLE(_xlfn.COVARIANCE.S(Q6_ii_RawData!E2:E251, Q6_ii_RawData!F2:F251))</f>
        <v>1.3663680443068275E-4</v>
      </c>
      <c r="K14" s="75">
        <f>_xlfn.SINGLE(_xlfn.COVARIANCE.S(Q6_ii_RawData!E2:E251, Q6_ii_RawData!G2:G251))</f>
        <v>5.1806497729991999E-5</v>
      </c>
      <c r="L14" s="75">
        <f>_xlfn.SINGLE(_xlfn.COVARIANCE.S(Q6_ii_RawData!E2:E251, Q6_ii_RawData!H2:H251))</f>
        <v>2.4754461243489158E-4</v>
      </c>
      <c r="M14" s="76">
        <f>_xlfn.SINGLE(_xlfn.COVARIANCE.S(Q6_ii_RawData!E2:E251, Q6_ii_RawData!I2:I251))</f>
        <v>1.1194897644999183E-4</v>
      </c>
      <c r="N14" s="76">
        <f>_xlfn.SINGLE(_xlfn.COVARIANCE.S(Q6_ii_RawData!E2:E251, Q6_ii_RawData!J2:J251))</f>
        <v>1.3695089468967071E-4</v>
      </c>
      <c r="O14" s="76">
        <f>_xlfn.SINGLE(_xlfn.COVARIANCE.S(Q6_ii_RawData!E2:E251, Q6_ii_RawData!K2:K251))</f>
        <v>1.9527616047929319E-4</v>
      </c>
      <c r="P14" s="20">
        <f t="shared" si="0"/>
        <v>-3.4453600000000001E-2</v>
      </c>
      <c r="Q14" s="20">
        <f t="shared" si="1"/>
        <v>-3.8743025999999993E-2</v>
      </c>
      <c r="R14" s="20">
        <f t="shared" si="2"/>
        <v>-4.1908366666666669E-2</v>
      </c>
      <c r="S14" s="20">
        <v>9</v>
      </c>
      <c r="U14" s="77">
        <f t="shared" si="3"/>
        <v>-2.6470578947368423E-3</v>
      </c>
      <c r="V14" s="77">
        <f t="shared" si="4"/>
        <v>24</v>
      </c>
    </row>
    <row r="15" spans="1:22" ht="15" customHeight="1" x14ac:dyDescent="0.15">
      <c r="A15" s="41" t="s">
        <v>175</v>
      </c>
      <c r="B15" s="74">
        <v>0.1</v>
      </c>
      <c r="C15" s="45">
        <f>AVERAGE(Q6_ii_RawData!F2:F251)</f>
        <v>-1.8654799999999994E-3</v>
      </c>
      <c r="D15" s="45">
        <f>_xlfn.SINGLE(_xlfn.STDEV.S(Q6_ii_RawData!F2:F251))</f>
        <v>4.2552272841500614E-2</v>
      </c>
      <c r="E15" s="41" t="s">
        <v>175</v>
      </c>
      <c r="F15" s="75">
        <f>_xlfn.SINGLE(_xlfn.COVARIANCE.S(Q6_ii_RawData!F2:F251, Q6_ii_RawData!B2:B251))</f>
        <v>1.3559154043534137E-4</v>
      </c>
      <c r="G15" s="75">
        <f>_xlfn.SINGLE(_xlfn.COVARIANCE.S(Q6_ii_RawData!F2:F251, Q6_ii_RawData!C2:C251))</f>
        <v>4.1093390489943744E-4</v>
      </c>
      <c r="H15" s="75">
        <f>_xlfn.SINGLE(_xlfn.COVARIANCE.S(Q6_ii_RawData!F2:F251, Q6_ii_RawData!D2:D251))</f>
        <v>5.5601937692883563E-4</v>
      </c>
      <c r="I15" s="75">
        <f>_xlfn.SINGLE(_xlfn.COVARIANCE.S(Q6_ii_RawData!F2:F251, Q6_ii_RawData!E2:E251))</f>
        <v>1.3663680443068275E-4</v>
      </c>
      <c r="J15" s="75">
        <f>_xlfn.SINGLE(_xlfn.COVARIANCE.S(Q6_ii_RawData!F2:F251, Q6_ii_RawData!F2:F251))</f>
        <v>1.8106959239775091E-3</v>
      </c>
      <c r="K15" s="75">
        <f>_xlfn.SINGLE(_xlfn.COVARIANCE.S(Q6_ii_RawData!F2:F251, Q6_ii_RawData!G2:G251))</f>
        <v>1.7572523240433731E-4</v>
      </c>
      <c r="L15" s="75">
        <f>_xlfn.SINGLE(_xlfn.COVARIANCE.S(Q6_ii_RawData!F2:F251, Q6_ii_RawData!H2:H251))</f>
        <v>8.6620764911164689E-5</v>
      </c>
      <c r="M15" s="76">
        <f>_xlfn.SINGLE(_xlfn.COVARIANCE.S(Q6_ii_RawData!F2:F251, Q6_ii_RawData!I2:I251))</f>
        <v>2.6636154060032108E-4</v>
      </c>
      <c r="N15" s="76">
        <f>_xlfn.SINGLE(_xlfn.COVARIANCE.S(Q6_ii_RawData!F2:F251, Q6_ii_RawData!J2:J251))</f>
        <v>4.2551619199309235E-4</v>
      </c>
      <c r="O15" s="76">
        <f>_xlfn.SINGLE(_xlfn.COVARIANCE.S(Q6_ii_RawData!F2:F251, Q6_ii_RawData!K2:K251))</f>
        <v>6.1193060873269089E-4</v>
      </c>
      <c r="P15" s="20">
        <f t="shared" si="0"/>
        <v>-3.41179E-2</v>
      </c>
      <c r="Q15" s="20">
        <f t="shared" si="1"/>
        <v>-3.8743025999999993E-2</v>
      </c>
      <c r="R15" s="20">
        <f t="shared" si="2"/>
        <v>-4.1908366666666669E-2</v>
      </c>
      <c r="S15" s="20">
        <v>10</v>
      </c>
      <c r="U15" s="77">
        <f t="shared" si="3"/>
        <v>2.5317473684210532E-3</v>
      </c>
      <c r="V15" s="77">
        <f t="shared" si="4"/>
        <v>28</v>
      </c>
    </row>
    <row r="16" spans="1:22" ht="15" customHeight="1" x14ac:dyDescent="0.15">
      <c r="A16" s="41" t="s">
        <v>176</v>
      </c>
      <c r="B16" s="74">
        <v>0.1</v>
      </c>
      <c r="C16" s="45">
        <f>AVERAGE(Q6_ii_RawData!G2:G251)</f>
        <v>-1.4936000000000268E-5</v>
      </c>
      <c r="D16" s="45">
        <f>_xlfn.SINGLE(_xlfn.STDEV.S(Q6_ii_RawData!G2:G251))</f>
        <v>1.9550167793626214E-2</v>
      </c>
      <c r="E16" s="41" t="s">
        <v>176</v>
      </c>
      <c r="F16" s="75">
        <f>_xlfn.SINGLE(_xlfn.COVARIANCE.S(Q6_ii_RawData!G2:G251, Q6_ii_RawData!B2:B251))</f>
        <v>6.3030720866987953E-5</v>
      </c>
      <c r="G16" s="75">
        <f>_xlfn.SINGLE(_xlfn.COVARIANCE.S(Q6_ii_RawData!G2:G251, Q6_ii_RawData!C2:C251))</f>
        <v>1.3405126485651405E-4</v>
      </c>
      <c r="H16" s="75">
        <f>_xlfn.SINGLE(_xlfn.COVARIANCE.S(Q6_ii_RawData!G2:G251, Q6_ii_RawData!D2:D251))</f>
        <v>2.8223886118110844E-4</v>
      </c>
      <c r="I16" s="75">
        <f>_xlfn.SINGLE(_xlfn.COVARIANCE.S(Q6_ii_RawData!G2:G251, Q6_ii_RawData!E2:E251))</f>
        <v>5.1806497729991999E-5</v>
      </c>
      <c r="J16" s="75">
        <f>_xlfn.SINGLE(_xlfn.COVARIANCE.S(Q6_ii_RawData!G2:G251, Q6_ii_RawData!F2:F251))</f>
        <v>1.7572523240433731E-4</v>
      </c>
      <c r="K16" s="75">
        <f>_xlfn.SINGLE(_xlfn.COVARIANCE.S(Q6_ii_RawData!G2:G251, Q6_ii_RawData!G2:G251))</f>
        <v>3.822090607589396E-4</v>
      </c>
      <c r="L16" s="75">
        <f>_xlfn.SINGLE(_xlfn.COVARIANCE.S(Q6_ii_RawData!G2:G251, Q6_ii_RawData!H2:H251))</f>
        <v>9.5162521291630543E-5</v>
      </c>
      <c r="M16" s="76">
        <f>_xlfn.SINGLE(_xlfn.COVARIANCE.S(Q6_ii_RawData!G2:G251, Q6_ii_RawData!I2:I251))</f>
        <v>1.116949215419117E-4</v>
      </c>
      <c r="N16" s="76">
        <f>_xlfn.SINGLE(_xlfn.COVARIANCE.S(Q6_ii_RawData!G2:G251, Q6_ii_RawData!J2:J251))</f>
        <v>1.1913732419958225E-4</v>
      </c>
      <c r="O16" s="76">
        <f>_xlfn.SINGLE(_xlfn.COVARIANCE.S(Q6_ii_RawData!G2:G251, Q6_ii_RawData!K2:K251))</f>
        <v>1.9931279365545385E-4</v>
      </c>
      <c r="P16" s="20">
        <f t="shared" si="0"/>
        <v>-3.1738000000000009E-2</v>
      </c>
      <c r="Q16" s="20">
        <f t="shared" si="1"/>
        <v>-3.8743025999999993E-2</v>
      </c>
      <c r="R16" s="20">
        <f t="shared" si="2"/>
        <v>-4.1908366666666669E-2</v>
      </c>
      <c r="S16" s="20">
        <v>11</v>
      </c>
      <c r="U16" s="77">
        <f t="shared" si="3"/>
        <v>7.7105526315789487E-3</v>
      </c>
      <c r="V16" s="77">
        <f t="shared" si="4"/>
        <v>33</v>
      </c>
    </row>
    <row r="17" spans="1:22" ht="15" customHeight="1" x14ac:dyDescent="0.15">
      <c r="A17" s="41" t="s">
        <v>177</v>
      </c>
      <c r="B17" s="74">
        <v>0.1</v>
      </c>
      <c r="C17" s="45">
        <f>AVERAGE(Q6_ii_RawData!H2:H251)</f>
        <v>4.0240239999999993E-3</v>
      </c>
      <c r="D17" s="45">
        <f>_xlfn.SINGLE(_xlfn.STDEV.S(Q6_ii_RawData!H2:H251))</f>
        <v>2.7471352475236795E-2</v>
      </c>
      <c r="E17" s="41" t="s">
        <v>177</v>
      </c>
      <c r="F17" s="75">
        <f>_xlfn.SINGLE(_xlfn.COVARIANCE.S(Q6_ii_RawData!H2:H251, Q6_ii_RawData!B2:B251))</f>
        <v>2.431713658918876E-4</v>
      </c>
      <c r="G17" s="75">
        <f>_xlfn.SINGLE(_xlfn.COVARIANCE.S(Q6_ii_RawData!H2:H251, Q6_ii_RawData!C2:C251))</f>
        <v>1.759723592704897E-4</v>
      </c>
      <c r="H17" s="75">
        <f>_xlfn.SINGLE(_xlfn.COVARIANCE.S(Q6_ii_RawData!H2:H251, Q6_ii_RawData!D2:D251))</f>
        <v>3.3211200311058657E-4</v>
      </c>
      <c r="I17" s="75">
        <f>_xlfn.SINGLE(_xlfn.COVARIANCE.S(Q6_ii_RawData!H2:H251, Q6_ii_RawData!E2:E251))</f>
        <v>2.4754461243489158E-4</v>
      </c>
      <c r="J17" s="75">
        <f>_xlfn.SINGLE(_xlfn.COVARIANCE.S(Q6_ii_RawData!H2:H251, Q6_ii_RawData!F2:F251))</f>
        <v>8.6620764911164689E-5</v>
      </c>
      <c r="K17" s="75">
        <f>_xlfn.SINGLE(_xlfn.COVARIANCE.S(Q6_ii_RawData!H2:H251, Q6_ii_RawData!G2:G251))</f>
        <v>9.5162521291630543E-5</v>
      </c>
      <c r="L17" s="75">
        <f>_xlfn.SINGLE(_xlfn.COVARIANCE.S(Q6_ii_RawData!H2:H251, Q6_ii_RawData!H2:H251))</f>
        <v>7.5467520681869911E-4</v>
      </c>
      <c r="M17" s="76">
        <f>_xlfn.SINGLE(_xlfn.COVARIANCE.S(Q6_ii_RawData!H2:H251, Q6_ii_RawData!I2:I251))</f>
        <v>5.7183085626409634E-5</v>
      </c>
      <c r="N17" s="76">
        <f>_xlfn.SINGLE(_xlfn.COVARIANCE.S(Q6_ii_RawData!H2:H251, Q6_ii_RawData!J2:J251))</f>
        <v>1.8860949277564663E-4</v>
      </c>
      <c r="O17" s="76">
        <f>_xlfn.SINGLE(_xlfn.COVARIANCE.S(Q6_ii_RawData!H2:H251, Q6_ii_RawData!K2:K251))</f>
        <v>2.0296128959971092E-4</v>
      </c>
      <c r="P17" s="20">
        <f t="shared" si="0"/>
        <v>-3.1557200000000001E-2</v>
      </c>
      <c r="Q17" s="20">
        <f t="shared" si="1"/>
        <v>-3.8743025999999993E-2</v>
      </c>
      <c r="R17" s="20">
        <f t="shared" si="2"/>
        <v>-4.1908366666666669E-2</v>
      </c>
      <c r="S17" s="20">
        <v>12</v>
      </c>
      <c r="U17" s="77">
        <f t="shared" si="3"/>
        <v>1.2889357894736844E-2</v>
      </c>
      <c r="V17" s="77">
        <f t="shared" si="4"/>
        <v>25</v>
      </c>
    </row>
    <row r="18" spans="1:22" ht="15" customHeight="1" x14ac:dyDescent="0.15">
      <c r="A18" s="41" t="s">
        <v>178</v>
      </c>
      <c r="B18" s="74">
        <v>0.1</v>
      </c>
      <c r="C18" s="45">
        <f>AVERAGE(Q6_ii_RawData!I2:I251)</f>
        <v>-2.8749600000000069E-4</v>
      </c>
      <c r="D18" s="45">
        <f>_xlfn.SINGLE(_xlfn.STDEV.S(Q6_ii_RawData!I2:I251))</f>
        <v>2.8950593970399632E-2</v>
      </c>
      <c r="E18" s="41" t="s">
        <v>178</v>
      </c>
      <c r="F18" s="75">
        <f>_xlfn.SINGLE(_xlfn.COVARIANCE.S(Q6_ii_RawData!I2:I251, Q6_ii_RawData!B2:B251))</f>
        <v>4.2471325412369469E-5</v>
      </c>
      <c r="G18" s="75">
        <f>_xlfn.SINGLE(_xlfn.COVARIANCE.S(Q6_ii_RawData!I2:I251, Q6_ii_RawData!C2:C251))</f>
        <v>1.1180854717828114E-4</v>
      </c>
      <c r="H18" s="75">
        <f>_xlfn.SINGLE(_xlfn.COVARIANCE.S(Q6_ii_RawData!I2:I251, Q6_ii_RawData!D2:D251))</f>
        <v>4.5456532664359865E-4</v>
      </c>
      <c r="I18" s="75">
        <f>_xlfn.SINGLE(_xlfn.COVARIANCE.S(Q6_ii_RawData!I2:I251, Q6_ii_RawData!E2:E251))</f>
        <v>1.1194897644999183E-4</v>
      </c>
      <c r="J18" s="75">
        <f>_xlfn.SINGLE(_xlfn.COVARIANCE.S(Q6_ii_RawData!I2:I251, Q6_ii_RawData!F2:F251))</f>
        <v>2.6636154060032108E-4</v>
      </c>
      <c r="K18" s="75">
        <f>_xlfn.SINGLE(_xlfn.COVARIANCE.S(Q6_ii_RawData!I2:I251, Q6_ii_RawData!G2:G251))</f>
        <v>1.116949215419117E-4</v>
      </c>
      <c r="L18" s="75">
        <f>_xlfn.SINGLE(_xlfn.COVARIANCE.S(Q6_ii_RawData!I2:I251, Q6_ii_RawData!H2:H251))</f>
        <v>5.7183085626409634E-5</v>
      </c>
      <c r="M18" s="76">
        <f>_xlfn.SINGLE(_xlfn.COVARIANCE.S(Q6_ii_RawData!I2:I251, Q6_ii_RawData!I2:I251))</f>
        <v>8.3813689123893981E-4</v>
      </c>
      <c r="N18" s="76">
        <f>_xlfn.SINGLE(_xlfn.COVARIANCE.S(Q6_ii_RawData!I2:I251, Q6_ii_RawData!J2:J251))</f>
        <v>1.1462429340102814E-4</v>
      </c>
      <c r="O18" s="76">
        <f>_xlfn.SINGLE(_xlfn.COVARIANCE.S(Q6_ii_RawData!I2:I251, Q6_ii_RawData!K2:K251))</f>
        <v>1.9064868592726114E-4</v>
      </c>
      <c r="P18" s="20">
        <f t="shared" si="0"/>
        <v>-3.12249E-2</v>
      </c>
      <c r="Q18" s="20">
        <f t="shared" si="1"/>
        <v>-3.8743025999999993E-2</v>
      </c>
      <c r="R18" s="20">
        <f t="shared" si="2"/>
        <v>-4.1908366666666669E-2</v>
      </c>
      <c r="S18" s="20">
        <v>13</v>
      </c>
      <c r="U18" s="77">
        <f t="shared" si="3"/>
        <v>1.8068163157894741E-2</v>
      </c>
      <c r="V18" s="77">
        <f t="shared" ref="V18" si="5">COUNTIFS($B$23:$B$274,"&gt;"&amp;U17,$B$23:$B$274,"&lt;="&amp;U18)</f>
        <v>15</v>
      </c>
    </row>
    <row r="19" spans="1:22" ht="15" customHeight="1" x14ac:dyDescent="0.15">
      <c r="A19" s="41" t="s">
        <v>179</v>
      </c>
      <c r="B19" s="74">
        <v>0.1</v>
      </c>
      <c r="C19" s="45">
        <f>AVERAGE(Q6_ii_RawData!J2:J251)</f>
        <v>1.5696439999999989E-3</v>
      </c>
      <c r="D19" s="45">
        <f>_xlfn.SINGLE(_xlfn.STDEV.S(Q6_ii_RawData!J2:J251))</f>
        <v>4.23446506616822E-2</v>
      </c>
      <c r="E19" s="41" t="s">
        <v>179</v>
      </c>
      <c r="F19" s="75">
        <f>_xlfn.SINGLE(_xlfn.COVARIANCE.S(Q6_ii_RawData!J2:J251, Q6_ii_RawData!B2:B251))</f>
        <v>1.9625789211236938E-4</v>
      </c>
      <c r="G19" s="75">
        <f>_xlfn.SINGLE(_xlfn.COVARIANCE.S(Q6_ii_RawData!J2:J251, Q6_ii_RawData!C2:C251))</f>
        <v>2.5006189408478726E-4</v>
      </c>
      <c r="H19" s="75">
        <f>_xlfn.SINGLE(_xlfn.COVARIANCE.S(Q6_ii_RawData!J2:J251, Q6_ii_RawData!D2:D251))</f>
        <v>4.3216920058520479E-4</v>
      </c>
      <c r="I19" s="75">
        <f>_xlfn.SINGLE(_xlfn.COVARIANCE.S(Q6_ii_RawData!J2:J251, Q6_ii_RawData!E2:E251))</f>
        <v>1.3695089468967071E-4</v>
      </c>
      <c r="J19" s="75">
        <f>_xlfn.SINGLE(_xlfn.COVARIANCE.S(Q6_ii_RawData!J2:J251, Q6_ii_RawData!F2:F251))</f>
        <v>4.2551619199309235E-4</v>
      </c>
      <c r="K19" s="75">
        <f>_xlfn.SINGLE(_xlfn.COVARIANCE.S(Q6_ii_RawData!J2:J251, Q6_ii_RawData!G2:G251))</f>
        <v>1.1913732419958225E-4</v>
      </c>
      <c r="L19" s="75">
        <f>_xlfn.SINGLE(_xlfn.COVARIANCE.S(Q6_ii_RawData!J2:J251, Q6_ii_RawData!H2:H251))</f>
        <v>1.8860949277564663E-4</v>
      </c>
      <c r="M19" s="76">
        <f>_xlfn.SINGLE(_xlfn.COVARIANCE.S(Q6_ii_RawData!J2:J251, Q6_ii_RawData!I2:I251))</f>
        <v>1.1462429340102814E-4</v>
      </c>
      <c r="N19" s="76">
        <f>_xlfn.SINGLE(_xlfn.COVARIANCE.S(Q6_ii_RawData!J2:J251, Q6_ii_RawData!J2:J251))</f>
        <v>1.7930694396599035E-3</v>
      </c>
      <c r="O19" s="76">
        <f>_xlfn.SINGLE(_xlfn.COVARIANCE.S(Q6_ii_RawData!J2:J251, Q6_ii_RawData!K2:K251))</f>
        <v>3.8789312231914851E-4</v>
      </c>
      <c r="P19" s="20">
        <f t="shared" si="0"/>
        <v>-2.9778100000000002E-2</v>
      </c>
      <c r="Q19" s="20">
        <f t="shared" si="1"/>
        <v>-3.8743025999999993E-2</v>
      </c>
      <c r="R19" s="20">
        <f t="shared" si="2"/>
        <v>-4.1908366666666669E-2</v>
      </c>
      <c r="S19" s="20">
        <v>14</v>
      </c>
      <c r="U19" s="77">
        <f t="shared" si="3"/>
        <v>2.3246968421052637E-2</v>
      </c>
      <c r="V19" s="77">
        <f t="shared" ref="V19:V25" si="6">COUNTIFS($B$23:$B$272,"&gt;"&amp;U18,$B$23:$B$272,"&lt;="&amp;U19)</f>
        <v>15</v>
      </c>
    </row>
    <row r="20" spans="1:22" ht="15" customHeight="1" x14ac:dyDescent="0.15">
      <c r="A20" s="41" t="s">
        <v>180</v>
      </c>
      <c r="B20" s="74">
        <v>0.1</v>
      </c>
      <c r="C20" s="45">
        <f>AVERAGE(Q6_ii_RawData!K2:K251)</f>
        <v>-1.4173880000000001E-3</v>
      </c>
      <c r="D20" s="45">
        <f>_xlfn.SINGLE(_xlfn.STDEV.S(Q6_ii_RawData!K2:K251))</f>
        <v>3.6014192357152849E-2</v>
      </c>
      <c r="E20" s="41" t="s">
        <v>180</v>
      </c>
      <c r="F20" s="75">
        <f>_xlfn.SINGLE(_xlfn.COVARIANCE.S(Q6_ii_RawData!K2:K251, Q6_ii_RawData!B2:B251))</f>
        <v>1.8741343038369474E-4</v>
      </c>
      <c r="G20" s="75">
        <f>_xlfn.SINGLE(_xlfn.COVARIANCE.S(Q6_ii_RawData!K2:K251, Q6_ii_RawData!C2:C251))</f>
        <v>3.5430621774287536E-4</v>
      </c>
      <c r="H20" s="75">
        <f>_xlfn.SINGLE(_xlfn.COVARIANCE.S(Q6_ii_RawData!K2:K251, Q6_ii_RawData!D2:D251))</f>
        <v>9.0792674358099624E-4</v>
      </c>
      <c r="I20" s="75">
        <f>_xlfn.SINGLE(_xlfn.COVARIANCE.S(Q6_ii_RawData!K2:K251, Q6_ii_RawData!E2:E251))</f>
        <v>1.9527616047929319E-4</v>
      </c>
      <c r="J20" s="75">
        <f>_xlfn.SINGLE(_xlfn.COVARIANCE.S(Q6_ii_RawData!K2:K251, Q6_ii_RawData!F2:F251))</f>
        <v>6.1193060873269089E-4</v>
      </c>
      <c r="K20" s="75">
        <f>_xlfn.SINGLE(_xlfn.COVARIANCE.S(Q6_ii_RawData!K2:K251, Q6_ii_RawData!G2:G251))</f>
        <v>1.9931279365545385E-4</v>
      </c>
      <c r="L20" s="75">
        <f>_xlfn.SINGLE(_xlfn.COVARIANCE.S(Q6_ii_RawData!K2:K251, Q6_ii_RawData!H2:H251))</f>
        <v>2.0296128959971092E-4</v>
      </c>
      <c r="M20" s="76">
        <f>_xlfn.SINGLE(_xlfn.COVARIANCE.S(Q6_ii_RawData!K2:K251, Q6_ii_RawData!I2:I251))</f>
        <v>1.9064868592726114E-4</v>
      </c>
      <c r="N20" s="76">
        <f>_xlfn.SINGLE(_xlfn.COVARIANCE.S(Q6_ii_RawData!K2:K251, Q6_ii_RawData!J2:J251))</f>
        <v>3.8789312231914851E-4</v>
      </c>
      <c r="O20" s="76">
        <f>_xlfn.SINGLE(_xlfn.COVARIANCE.S(Q6_ii_RawData!K2:K251, Q6_ii_RawData!K2:K251))</f>
        <v>1.2970220511380069E-3</v>
      </c>
      <c r="P20" s="20">
        <f t="shared" si="0"/>
        <v>-2.9431300000000001E-2</v>
      </c>
      <c r="Q20" s="20">
        <f t="shared" si="1"/>
        <v>-3.8743025999999993E-2</v>
      </c>
      <c r="R20" s="20">
        <f t="shared" si="2"/>
        <v>-4.1908366666666669E-2</v>
      </c>
      <c r="S20" s="20">
        <v>15</v>
      </c>
      <c r="U20" s="77">
        <f t="shared" si="3"/>
        <v>2.8425773684210533E-2</v>
      </c>
      <c r="V20" s="77">
        <f t="shared" si="6"/>
        <v>15</v>
      </c>
    </row>
    <row r="21" spans="1:22" x14ac:dyDescent="0.15">
      <c r="P21" s="20">
        <f t="shared" si="0"/>
        <v>-2.8658800000000009E-2</v>
      </c>
      <c r="Q21" s="20">
        <f t="shared" si="1"/>
        <v>-3.8743025999999993E-2</v>
      </c>
      <c r="R21" s="20">
        <f t="shared" si="2"/>
        <v>-4.1908366666666669E-2</v>
      </c>
      <c r="S21" s="20">
        <v>16</v>
      </c>
      <c r="U21" s="20">
        <f t="shared" si="3"/>
        <v>3.360457894736843E-2</v>
      </c>
      <c r="V21" s="20">
        <f t="shared" si="6"/>
        <v>8</v>
      </c>
    </row>
    <row r="22" spans="1:22" x14ac:dyDescent="0.15">
      <c r="A22" s="41" t="s">
        <v>170</v>
      </c>
      <c r="B22" s="41" t="s">
        <v>198</v>
      </c>
      <c r="D22" s="78" t="s">
        <v>199</v>
      </c>
      <c r="E22" s="45">
        <f>AVERAGE(B23:B272)</f>
        <v>1.0416992000000006E-3</v>
      </c>
      <c r="P22" s="20">
        <f t="shared" si="0"/>
        <v>-2.8476900000000006E-2</v>
      </c>
      <c r="Q22" s="20">
        <f t="shared" si="1"/>
        <v>-3.8743025999999993E-2</v>
      </c>
      <c r="R22" s="20">
        <f t="shared" si="2"/>
        <v>-4.1908366666666669E-2</v>
      </c>
      <c r="S22" s="20">
        <v>17</v>
      </c>
      <c r="U22" s="20">
        <f t="shared" si="3"/>
        <v>3.8783384210526323E-2</v>
      </c>
      <c r="V22" s="20">
        <f t="shared" si="6"/>
        <v>5</v>
      </c>
    </row>
    <row r="23" spans="1:22" x14ac:dyDescent="0.15">
      <c r="A23" s="79">
        <f>Q6_ii_RawData!A2</f>
        <v>45072</v>
      </c>
      <c r="B23" s="45">
        <f>$B$11*Q6_ii_RawData!B2+$B$12*Q6_ii_RawData!C2+$B$13*Q6_ii_RawData!D2+$B$14*Q6_ii_RawData!E2+$B$15*Q6_ii_RawData!F2+$B$16*Q6_ii_RawData!G2+$B$17*Q6_ii_RawData!H2+$B$18*Q6_ii_RawData!I2+$B$19*Q6_ii_RawData!J2+$B$20*Q6_ii_RawData!K2</f>
        <v>1.2017900000000001E-2</v>
      </c>
      <c r="D23" s="78" t="s">
        <v>200</v>
      </c>
      <c r="E23" s="45">
        <f>_xlfn.SINGLE(_xlfn.STDEV.S(B23:B272))</f>
        <v>1.8694374343509349E-2</v>
      </c>
      <c r="P23" s="20">
        <f t="shared" si="0"/>
        <v>-2.8396899999999999E-2</v>
      </c>
      <c r="Q23" s="20">
        <f t="shared" si="1"/>
        <v>-3.8743025999999993E-2</v>
      </c>
      <c r="R23" s="20">
        <f t="shared" si="2"/>
        <v>-4.1908366666666669E-2</v>
      </c>
      <c r="S23" s="20">
        <v>18</v>
      </c>
      <c r="U23" s="20">
        <f t="shared" si="3"/>
        <v>4.3962189473684216E-2</v>
      </c>
      <c r="V23" s="20">
        <f t="shared" si="6"/>
        <v>1</v>
      </c>
    </row>
    <row r="24" spans="1:22" x14ac:dyDescent="0.15">
      <c r="A24" s="79">
        <f>Q6_ii_RawData!A3</f>
        <v>45076</v>
      </c>
      <c r="B24" s="45">
        <f>$B$11*Q6_ii_RawData!B3+$B$12*Q6_ii_RawData!C3+$B$13*Q6_ii_RawData!D3+$B$14*Q6_ii_RawData!E3+$B$15*Q6_ii_RawData!F3+$B$16*Q6_ii_RawData!G3+$B$17*Q6_ii_RawData!H3+$B$18*Q6_ii_RawData!I3+$B$19*Q6_ii_RawData!J3+$B$20*Q6_ii_RawData!K3</f>
        <v>-5.6506000000000021E-3</v>
      </c>
      <c r="D24" s="78" t="s">
        <v>30</v>
      </c>
      <c r="E24" s="43">
        <f>B6 * (_xlfn.SINGLE(_xlfn.NORM.S.INV(B7)) * E23 * SQRT(B8) - E22 * B8)</f>
        <v>317773.13871001988</v>
      </c>
      <c r="P24" s="20">
        <f t="shared" si="0"/>
        <v>-2.7999299999999998E-2</v>
      </c>
      <c r="Q24" s="20">
        <f t="shared" si="1"/>
        <v>-3.8743025999999993E-2</v>
      </c>
      <c r="R24" s="20">
        <f t="shared" si="2"/>
        <v>-4.1908366666666669E-2</v>
      </c>
      <c r="S24" s="20">
        <v>19</v>
      </c>
      <c r="U24" s="20">
        <f t="shared" si="3"/>
        <v>4.9140994736842109E-2</v>
      </c>
      <c r="V24" s="20">
        <f t="shared" si="6"/>
        <v>1</v>
      </c>
    </row>
    <row r="25" spans="1:22" x14ac:dyDescent="0.15">
      <c r="A25" s="79">
        <f>Q6_ii_RawData!A4</f>
        <v>45077</v>
      </c>
      <c r="B25" s="45">
        <f>$B$11*Q6_ii_RawData!B4+$B$12*Q6_ii_RawData!C4+$B$13*Q6_ii_RawData!D4+$B$14*Q6_ii_RawData!E4+$B$15*Q6_ii_RawData!F4+$B$16*Q6_ii_RawData!G4+$B$17*Q6_ii_RawData!H4+$B$18*Q6_ii_RawData!I4+$B$19*Q6_ii_RawData!J4+$B$20*Q6_ii_RawData!K4</f>
        <v>2.6816E-2</v>
      </c>
      <c r="D25" s="78" t="s">
        <v>201</v>
      </c>
      <c r="E25" s="43">
        <f>B6 * ((_xlfn.SINGLE(_xlfn.NORM.S.DIST(_xlfn.NORM.S.INV(B7), FALSE())) / (1 - B7)) * E23 * SQRT(B8) - E22 * B8)</f>
        <v>367854.87576015119</v>
      </c>
      <c r="P25" s="20">
        <f t="shared" si="0"/>
        <v>-2.6533300000000003E-2</v>
      </c>
      <c r="Q25" s="20">
        <f t="shared" si="1"/>
        <v>-3.8743025999999993E-2</v>
      </c>
      <c r="R25" s="20">
        <f t="shared" si="2"/>
        <v>-4.1908366666666669E-2</v>
      </c>
      <c r="S25" s="20">
        <v>20</v>
      </c>
      <c r="U25" s="20">
        <f t="shared" si="3"/>
        <v>5.4319800000000001E-2</v>
      </c>
      <c r="V25" s="20">
        <f t="shared" si="6"/>
        <v>2</v>
      </c>
    </row>
    <row r="26" spans="1:22" x14ac:dyDescent="0.15">
      <c r="A26" s="79">
        <f>Q6_ii_RawData!A5</f>
        <v>45078</v>
      </c>
      <c r="B26" s="45">
        <f>$B$11*Q6_ii_RawData!B5+$B$12*Q6_ii_RawData!C5+$B$13*Q6_ii_RawData!D5+$B$14*Q6_ii_RawData!E5+$B$15*Q6_ii_RawData!F5+$B$16*Q6_ii_RawData!G5+$B$17*Q6_ii_RawData!H5+$B$18*Q6_ii_RawData!I5+$B$19*Q6_ii_RawData!J5+$B$20*Q6_ii_RawData!K5</f>
        <v>1.3811799999999999E-2</v>
      </c>
      <c r="D26" s="78" t="s">
        <v>202</v>
      </c>
      <c r="E26" s="43">
        <f>-_xlfn.SINGLE(_xlfn.PERCENTILE.INC(B23:B272, 1 - B7)) * B6</f>
        <v>96857.564999999988</v>
      </c>
      <c r="P26" s="20">
        <f t="shared" si="0"/>
        <v>-2.6473899999999998E-2</v>
      </c>
      <c r="Q26" s="20">
        <f t="shared" si="1"/>
        <v>-3.8743025999999993E-2</v>
      </c>
      <c r="R26" s="20">
        <f t="shared" si="2"/>
        <v>-4.1908366666666669E-2</v>
      </c>
      <c r="S26" s="20">
        <v>21</v>
      </c>
    </row>
    <row r="27" spans="1:22" x14ac:dyDescent="0.15">
      <c r="A27" s="79">
        <f>Q6_ii_RawData!A6</f>
        <v>45079</v>
      </c>
      <c r="B27" s="45">
        <f>$B$11*Q6_ii_RawData!B6+$B$12*Q6_ii_RawData!C6+$B$13*Q6_ii_RawData!D6+$B$14*Q6_ii_RawData!E6+$B$15*Q6_ii_RawData!F6+$B$16*Q6_ii_RawData!G6+$B$17*Q6_ii_RawData!H6+$B$18*Q6_ii_RawData!I6+$B$19*Q6_ii_RawData!J6+$B$20*Q6_ii_RawData!K6</f>
        <v>7.1526000000000003E-3</v>
      </c>
      <c r="D27" s="78" t="s">
        <v>203</v>
      </c>
      <c r="E27" s="43">
        <f>-AVERAGEIF(B23:B272, "&lt;=" &amp; _xlfn.SINGLE(_xlfn.PERCENTILE.INC(B23:B272, 1 - B7)), B23:B272) * B6</f>
        <v>104770.91666666667</v>
      </c>
      <c r="P27" s="20">
        <f t="shared" si="0"/>
        <v>-2.5911800000000002E-2</v>
      </c>
      <c r="Q27" s="20">
        <f t="shared" si="1"/>
        <v>-3.8743025999999993E-2</v>
      </c>
      <c r="R27" s="20">
        <f t="shared" si="2"/>
        <v>-4.1908366666666669E-2</v>
      </c>
      <c r="S27" s="20">
        <v>22</v>
      </c>
    </row>
    <row r="28" spans="1:22" x14ac:dyDescent="0.15">
      <c r="A28" s="79">
        <f>Q6_ii_RawData!A7</f>
        <v>45082</v>
      </c>
      <c r="B28" s="45">
        <f>$B$11*Q6_ii_RawData!B7+$B$12*Q6_ii_RawData!C7+$B$13*Q6_ii_RawData!D7+$B$14*Q6_ii_RawData!E7+$B$15*Q6_ii_RawData!F7+$B$16*Q6_ii_RawData!G7+$B$17*Q6_ii_RawData!H7+$B$18*Q6_ii_RawData!I7+$B$19*Q6_ii_RawData!J7+$B$20*Q6_ii_RawData!K7</f>
        <v>1.16145E-2</v>
      </c>
      <c r="P28" s="20">
        <f t="shared" si="0"/>
        <v>-2.5253500000000005E-2</v>
      </c>
      <c r="Q28" s="20">
        <f t="shared" si="1"/>
        <v>-3.8743025999999993E-2</v>
      </c>
      <c r="R28" s="20">
        <f t="shared" si="2"/>
        <v>-4.1908366666666669E-2</v>
      </c>
      <c r="S28" s="20">
        <v>23</v>
      </c>
    </row>
    <row r="29" spans="1:22" x14ac:dyDescent="0.15">
      <c r="A29" s="79">
        <f>Q6_ii_RawData!A8</f>
        <v>45083</v>
      </c>
      <c r="B29" s="45">
        <f>$B$11*Q6_ii_RawData!B8+$B$12*Q6_ii_RawData!C8+$B$13*Q6_ii_RawData!D8+$B$14*Q6_ii_RawData!E8+$B$15*Q6_ii_RawData!F8+$B$16*Q6_ii_RawData!G8+$B$17*Q6_ii_RawData!H8+$B$18*Q6_ii_RawData!I8+$B$19*Q6_ii_RawData!J8+$B$20*Q6_ii_RawData!K8</f>
        <v>-1.7274200000000003E-2</v>
      </c>
      <c r="P29" s="20">
        <f t="shared" si="0"/>
        <v>-2.3482700000000002E-2</v>
      </c>
      <c r="Q29" s="20">
        <f t="shared" si="1"/>
        <v>-3.8743025999999993E-2</v>
      </c>
      <c r="R29" s="20">
        <f t="shared" si="2"/>
        <v>-4.1908366666666669E-2</v>
      </c>
      <c r="S29" s="20">
        <v>24</v>
      </c>
    </row>
    <row r="30" spans="1:22" x14ac:dyDescent="0.15">
      <c r="A30" s="79">
        <f>Q6_ii_RawData!A9</f>
        <v>45084</v>
      </c>
      <c r="B30" s="45">
        <f>$B$11*Q6_ii_RawData!B9+$B$12*Q6_ii_RawData!C9+$B$13*Q6_ii_RawData!D9+$B$14*Q6_ii_RawData!E9+$B$15*Q6_ii_RawData!F9+$B$16*Q6_ii_RawData!G9+$B$17*Q6_ii_RawData!H9+$B$18*Q6_ii_RawData!I9+$B$19*Q6_ii_RawData!J9+$B$20*Q6_ii_RawData!K9</f>
        <v>7.5120999999999999E-3</v>
      </c>
      <c r="J30" s="90" t="s">
        <v>204</v>
      </c>
      <c r="K30" s="90"/>
      <c r="L30" s="90"/>
      <c r="P30" s="20">
        <f t="shared" si="0"/>
        <v>-2.2519000000000001E-2</v>
      </c>
      <c r="Q30" s="20">
        <f t="shared" si="1"/>
        <v>-3.8743025999999993E-2</v>
      </c>
      <c r="R30" s="20">
        <f t="shared" si="2"/>
        <v>-4.1908366666666669E-2</v>
      </c>
      <c r="S30" s="20">
        <v>25</v>
      </c>
    </row>
    <row r="31" spans="1:22" ht="14" customHeight="1" x14ac:dyDescent="0.15">
      <c r="A31" s="79">
        <f>Q6_ii_RawData!A10</f>
        <v>45085</v>
      </c>
      <c r="B31" s="45">
        <f>$B$11*Q6_ii_RawData!B10+$B$12*Q6_ii_RawData!C10+$B$13*Q6_ii_RawData!D10+$B$14*Q6_ii_RawData!E10+$B$15*Q6_ii_RawData!F10+$B$16*Q6_ii_RawData!G10+$B$17*Q6_ii_RawData!H10+$B$18*Q6_ii_RawData!I10+$B$19*Q6_ii_RawData!J10+$B$20*Q6_ii_RawData!K10</f>
        <v>2.2778000000000004E-3</v>
      </c>
      <c r="J31" s="106" t="s">
        <v>205</v>
      </c>
      <c r="K31" s="106"/>
      <c r="L31" s="106"/>
      <c r="P31" s="20">
        <f t="shared" si="0"/>
        <v>-2.1846899999999999E-2</v>
      </c>
      <c r="Q31" s="20">
        <f t="shared" si="1"/>
        <v>-3.8743025999999993E-2</v>
      </c>
      <c r="R31" s="20">
        <f t="shared" si="2"/>
        <v>-4.1908366666666669E-2</v>
      </c>
      <c r="S31" s="20">
        <v>26</v>
      </c>
    </row>
    <row r="32" spans="1:22" x14ac:dyDescent="0.15">
      <c r="A32" s="79">
        <f>Q6_ii_RawData!A11</f>
        <v>45086</v>
      </c>
      <c r="B32" s="45">
        <f>$B$11*Q6_ii_RawData!B11+$B$12*Q6_ii_RawData!C11+$B$13*Q6_ii_RawData!D11+$B$14*Q6_ii_RawData!E11+$B$15*Q6_ii_RawData!F11+$B$16*Q6_ii_RawData!G11+$B$17*Q6_ii_RawData!H11+$B$18*Q6_ii_RawData!I11+$B$19*Q6_ii_RawData!J11+$B$20*Q6_ii_RawData!K11</f>
        <v>1.8405999999999999E-2</v>
      </c>
      <c r="J32" s="106"/>
      <c r="K32" s="106"/>
      <c r="L32" s="106"/>
      <c r="P32" s="20">
        <f t="shared" si="0"/>
        <v>-2.1829299999999999E-2</v>
      </c>
      <c r="Q32" s="20">
        <f t="shared" si="1"/>
        <v>-3.8743025999999993E-2</v>
      </c>
      <c r="R32" s="20">
        <f t="shared" si="2"/>
        <v>-4.1908366666666669E-2</v>
      </c>
      <c r="S32" s="20">
        <v>27</v>
      </c>
    </row>
    <row r="33" spans="1:19" x14ac:dyDescent="0.15">
      <c r="A33" s="79">
        <f>Q6_ii_RawData!A12</f>
        <v>45089</v>
      </c>
      <c r="B33" s="45">
        <f>$B$11*Q6_ii_RawData!B12+$B$12*Q6_ii_RawData!C12+$B$13*Q6_ii_RawData!D12+$B$14*Q6_ii_RawData!E12+$B$15*Q6_ii_RawData!F12+$B$16*Q6_ii_RawData!G12+$B$17*Q6_ii_RawData!H12+$B$18*Q6_ii_RawData!I12+$B$19*Q6_ii_RawData!J12+$B$20*Q6_ii_RawData!K12</f>
        <v>3.0529400000000005E-2</v>
      </c>
      <c r="J33" s="106"/>
      <c r="K33" s="106"/>
      <c r="L33" s="106"/>
      <c r="P33" s="20">
        <f t="shared" si="0"/>
        <v>-2.1476600000000005E-2</v>
      </c>
      <c r="Q33" s="20">
        <f t="shared" si="1"/>
        <v>-3.8743025999999993E-2</v>
      </c>
      <c r="R33" s="20">
        <f t="shared" si="2"/>
        <v>-4.1908366666666669E-2</v>
      </c>
      <c r="S33" s="20">
        <v>28</v>
      </c>
    </row>
    <row r="34" spans="1:19" x14ac:dyDescent="0.15">
      <c r="A34" s="79">
        <f>Q6_ii_RawData!A13</f>
        <v>45090</v>
      </c>
      <c r="B34" s="45">
        <f>$B$11*Q6_ii_RawData!B13+$B$12*Q6_ii_RawData!C13+$B$13*Q6_ii_RawData!D13+$B$14*Q6_ii_RawData!E13+$B$15*Q6_ii_RawData!F13+$B$16*Q6_ii_RawData!G13+$B$17*Q6_ii_RawData!H13+$B$18*Q6_ii_RawData!I13+$B$19*Q6_ii_RawData!J13+$B$20*Q6_ii_RawData!K13</f>
        <v>2.14453E-2</v>
      </c>
      <c r="J34" s="106"/>
      <c r="K34" s="106"/>
      <c r="L34" s="106"/>
      <c r="P34" s="20">
        <f t="shared" si="0"/>
        <v>-2.1273000000000007E-2</v>
      </c>
      <c r="Q34" s="20">
        <f t="shared" si="1"/>
        <v>-3.8743025999999993E-2</v>
      </c>
      <c r="R34" s="20">
        <f t="shared" si="2"/>
        <v>-4.1908366666666669E-2</v>
      </c>
      <c r="S34" s="20">
        <v>29</v>
      </c>
    </row>
    <row r="35" spans="1:19" x14ac:dyDescent="0.15">
      <c r="A35" s="79">
        <f>Q6_ii_RawData!A14</f>
        <v>45091</v>
      </c>
      <c r="B35" s="45">
        <f>$B$11*Q6_ii_RawData!B14+$B$12*Q6_ii_RawData!C14+$B$13*Q6_ii_RawData!D14+$B$14*Q6_ii_RawData!E14+$B$15*Q6_ii_RawData!F14+$B$16*Q6_ii_RawData!G14+$B$17*Q6_ii_RawData!H14+$B$18*Q6_ii_RawData!I14+$B$19*Q6_ii_RawData!J14+$B$20*Q6_ii_RawData!K14</f>
        <v>1.6969900000000003E-2</v>
      </c>
      <c r="J35" s="106"/>
      <c r="K35" s="106"/>
      <c r="L35" s="106"/>
      <c r="P35" s="20">
        <f t="shared" si="0"/>
        <v>-2.1203099999999999E-2</v>
      </c>
      <c r="Q35" s="20">
        <f t="shared" si="1"/>
        <v>-3.8743025999999993E-2</v>
      </c>
      <c r="R35" s="20">
        <f t="shared" si="2"/>
        <v>-4.1908366666666669E-2</v>
      </c>
      <c r="S35" s="20">
        <v>30</v>
      </c>
    </row>
    <row r="36" spans="1:19" x14ac:dyDescent="0.15">
      <c r="A36" s="79">
        <f>Q6_ii_RawData!A15</f>
        <v>45092</v>
      </c>
      <c r="B36" s="45">
        <f>$B$11*Q6_ii_RawData!B15+$B$12*Q6_ii_RawData!C15+$B$13*Q6_ii_RawData!D15+$B$14*Q6_ii_RawData!E15+$B$15*Q6_ii_RawData!F15+$B$16*Q6_ii_RawData!G15+$B$17*Q6_ii_RawData!H15+$B$18*Q6_ii_RawData!I15+$B$19*Q6_ii_RawData!J15+$B$20*Q6_ii_RawData!K15</f>
        <v>-4.8339999999999972E-4</v>
      </c>
      <c r="J36" s="106"/>
      <c r="K36" s="106"/>
      <c r="L36" s="106"/>
      <c r="P36" s="20">
        <f t="shared" si="0"/>
        <v>-2.1095599999999999E-2</v>
      </c>
      <c r="Q36" s="20">
        <f t="shared" si="1"/>
        <v>-3.8743025999999993E-2</v>
      </c>
      <c r="R36" s="20">
        <f t="shared" si="2"/>
        <v>-4.1908366666666669E-2</v>
      </c>
      <c r="S36" s="20">
        <v>31</v>
      </c>
    </row>
    <row r="37" spans="1:19" x14ac:dyDescent="0.15">
      <c r="A37" s="79">
        <f>Q6_ii_RawData!A16</f>
        <v>45093</v>
      </c>
      <c r="B37" s="45">
        <f>$B$11*Q6_ii_RawData!B16+$B$12*Q6_ii_RawData!C16+$B$13*Q6_ii_RawData!D16+$B$14*Q6_ii_RawData!E16+$B$15*Q6_ii_RawData!F16+$B$16*Q6_ii_RawData!G16+$B$17*Q6_ii_RawData!H16+$B$18*Q6_ii_RawData!I16+$B$19*Q6_ii_RawData!J16+$B$20*Q6_ii_RawData!K16</f>
        <v>1.0766800000000003E-2</v>
      </c>
      <c r="J37" s="106"/>
      <c r="K37" s="106"/>
      <c r="L37" s="106"/>
      <c r="P37" s="20">
        <f t="shared" si="0"/>
        <v>-2.0956399999999997E-2</v>
      </c>
      <c r="Q37" s="20">
        <f t="shared" si="1"/>
        <v>-3.8743025999999993E-2</v>
      </c>
      <c r="R37" s="20">
        <f t="shared" si="2"/>
        <v>-4.1908366666666669E-2</v>
      </c>
      <c r="S37" s="20">
        <v>32</v>
      </c>
    </row>
    <row r="38" spans="1:19" x14ac:dyDescent="0.15">
      <c r="A38" s="79">
        <f>Q6_ii_RawData!A17</f>
        <v>45097</v>
      </c>
      <c r="B38" s="45">
        <f>$B$11*Q6_ii_RawData!B17+$B$12*Q6_ii_RawData!C17+$B$13*Q6_ii_RawData!D17+$B$14*Q6_ii_RawData!E17+$B$15*Q6_ii_RawData!F17+$B$16*Q6_ii_RawData!G17+$B$17*Q6_ii_RawData!H17+$B$18*Q6_ii_RawData!I17+$B$19*Q6_ii_RawData!J17+$B$20*Q6_ii_RawData!K17</f>
        <v>-1.2608899999999999E-2</v>
      </c>
      <c r="J38" s="106"/>
      <c r="K38" s="106"/>
      <c r="L38" s="106"/>
      <c r="P38" s="20">
        <f t="shared" si="0"/>
        <v>-2.034E-2</v>
      </c>
      <c r="Q38" s="20">
        <f t="shared" si="1"/>
        <v>-3.8743025999999993E-2</v>
      </c>
      <c r="R38" s="20">
        <f t="shared" si="2"/>
        <v>-4.1908366666666669E-2</v>
      </c>
      <c r="S38" s="20">
        <v>33</v>
      </c>
    </row>
    <row r="39" spans="1:19" x14ac:dyDescent="0.15">
      <c r="A39" s="79">
        <f>Q6_ii_RawData!A18</f>
        <v>45098</v>
      </c>
      <c r="B39" s="45">
        <f>$B$11*Q6_ii_RawData!B18+$B$12*Q6_ii_RawData!C18+$B$13*Q6_ii_RawData!D18+$B$14*Q6_ii_RawData!E18+$B$15*Q6_ii_RawData!F18+$B$16*Q6_ii_RawData!G18+$B$17*Q6_ii_RawData!H18+$B$18*Q6_ii_RawData!I18+$B$19*Q6_ii_RawData!J18+$B$20*Q6_ii_RawData!K18</f>
        <v>-2.5433000000000001E-3</v>
      </c>
      <c r="P39" s="20">
        <f t="shared" si="0"/>
        <v>-2.0197E-2</v>
      </c>
      <c r="Q39" s="20">
        <f t="shared" si="1"/>
        <v>-3.8743025999999993E-2</v>
      </c>
      <c r="R39" s="20">
        <f t="shared" si="2"/>
        <v>-4.1908366666666669E-2</v>
      </c>
      <c r="S39" s="20">
        <v>34</v>
      </c>
    </row>
    <row r="40" spans="1:19" x14ac:dyDescent="0.15">
      <c r="A40" s="79">
        <f>Q6_ii_RawData!A19</f>
        <v>45099</v>
      </c>
      <c r="B40" s="45">
        <f>$B$11*Q6_ii_RawData!B19+$B$12*Q6_ii_RawData!C19+$B$13*Q6_ii_RawData!D19+$B$14*Q6_ii_RawData!E19+$B$15*Q6_ii_RawData!F19+$B$16*Q6_ii_RawData!G19+$B$17*Q6_ii_RawData!H19+$B$18*Q6_ii_RawData!I19+$B$19*Q6_ii_RawData!J19+$B$20*Q6_ii_RawData!K19</f>
        <v>-4.9348999999999999E-3</v>
      </c>
      <c r="P40" s="20">
        <f t="shared" si="0"/>
        <v>-2.00673E-2</v>
      </c>
      <c r="Q40" s="20">
        <f t="shared" si="1"/>
        <v>-3.8743025999999993E-2</v>
      </c>
      <c r="R40" s="20">
        <f t="shared" si="2"/>
        <v>-4.1908366666666669E-2</v>
      </c>
      <c r="S40" s="20">
        <v>35</v>
      </c>
    </row>
    <row r="41" spans="1:19" x14ac:dyDescent="0.15">
      <c r="A41" s="79">
        <f>Q6_ii_RawData!A20</f>
        <v>45100</v>
      </c>
      <c r="B41" s="45">
        <f>$B$11*Q6_ii_RawData!B20+$B$12*Q6_ii_RawData!C20+$B$13*Q6_ii_RawData!D20+$B$14*Q6_ii_RawData!E20+$B$15*Q6_ii_RawData!F20+$B$16*Q6_ii_RawData!G20+$B$17*Q6_ii_RawData!H20+$B$18*Q6_ii_RawData!I20+$B$19*Q6_ii_RawData!J20+$B$20*Q6_ii_RawData!K20</f>
        <v>-1.5783799999999997E-2</v>
      </c>
      <c r="P41" s="20">
        <f t="shared" si="0"/>
        <v>-2.0009800000000001E-2</v>
      </c>
      <c r="Q41" s="20">
        <f t="shared" si="1"/>
        <v>-3.8743025999999993E-2</v>
      </c>
      <c r="R41" s="20">
        <f t="shared" si="2"/>
        <v>-4.1908366666666669E-2</v>
      </c>
      <c r="S41" s="20">
        <v>36</v>
      </c>
    </row>
    <row r="42" spans="1:19" x14ac:dyDescent="0.15">
      <c r="A42" s="79">
        <f>Q6_ii_RawData!A21</f>
        <v>45103</v>
      </c>
      <c r="B42" s="45">
        <f>$B$11*Q6_ii_RawData!B21+$B$12*Q6_ii_RawData!C21+$B$13*Q6_ii_RawData!D21+$B$14*Q6_ii_RawData!E21+$B$15*Q6_ii_RawData!F21+$B$16*Q6_ii_RawData!G21+$B$17*Q6_ii_RawData!H21+$B$18*Q6_ii_RawData!I21+$B$19*Q6_ii_RawData!J21+$B$20*Q6_ii_RawData!K21</f>
        <v>5.4319800000000001E-2</v>
      </c>
      <c r="P42" s="20">
        <f t="shared" si="0"/>
        <v>-1.9722200000000002E-2</v>
      </c>
      <c r="Q42" s="20">
        <f t="shared" si="1"/>
        <v>-3.8743025999999993E-2</v>
      </c>
      <c r="R42" s="20">
        <f t="shared" si="2"/>
        <v>-4.1908366666666669E-2</v>
      </c>
      <c r="S42" s="20">
        <v>37</v>
      </c>
    </row>
    <row r="43" spans="1:19" x14ac:dyDescent="0.15">
      <c r="A43" s="79">
        <f>Q6_ii_RawData!A22</f>
        <v>45104</v>
      </c>
      <c r="B43" s="45">
        <f>$B$11*Q6_ii_RawData!B22+$B$12*Q6_ii_RawData!C22+$B$13*Q6_ii_RawData!D22+$B$14*Q6_ii_RawData!E22+$B$15*Q6_ii_RawData!F22+$B$16*Q6_ii_RawData!G22+$B$17*Q6_ii_RawData!H22+$B$18*Q6_ii_RawData!I22+$B$19*Q6_ii_RawData!J22+$B$20*Q6_ii_RawData!K22</f>
        <v>1.3631300000000002E-2</v>
      </c>
      <c r="P43" s="20">
        <f t="shared" si="0"/>
        <v>-1.9632700000000003E-2</v>
      </c>
      <c r="Q43" s="20">
        <f t="shared" si="1"/>
        <v>-3.8743025999999993E-2</v>
      </c>
      <c r="R43" s="20">
        <f t="shared" si="2"/>
        <v>-4.1908366666666669E-2</v>
      </c>
      <c r="S43" s="20">
        <v>38</v>
      </c>
    </row>
    <row r="44" spans="1:19" x14ac:dyDescent="0.15">
      <c r="A44" s="79">
        <f>Q6_ii_RawData!A23</f>
        <v>45105</v>
      </c>
      <c r="B44" s="45">
        <f>$B$11*Q6_ii_RawData!B23+$B$12*Q6_ii_RawData!C23+$B$13*Q6_ii_RawData!D23+$B$14*Q6_ii_RawData!E23+$B$15*Q6_ii_RawData!F23+$B$16*Q6_ii_RawData!G23+$B$17*Q6_ii_RawData!H23+$B$18*Q6_ii_RawData!I23+$B$19*Q6_ii_RawData!J23+$B$20*Q6_ii_RawData!K23</f>
        <v>5.8851999999999993E-3</v>
      </c>
      <c r="P44" s="20">
        <f t="shared" si="0"/>
        <v>-1.8476000000000003E-2</v>
      </c>
      <c r="Q44" s="20">
        <f t="shared" si="1"/>
        <v>-3.8743025999999993E-2</v>
      </c>
      <c r="R44" s="20">
        <f t="shared" si="2"/>
        <v>-4.1908366666666669E-2</v>
      </c>
      <c r="S44" s="20">
        <v>39</v>
      </c>
    </row>
    <row r="45" spans="1:19" x14ac:dyDescent="0.15">
      <c r="A45" s="79">
        <f>Q6_ii_RawData!A24</f>
        <v>45106</v>
      </c>
      <c r="B45" s="45">
        <f>$B$11*Q6_ii_RawData!B24+$B$12*Q6_ii_RawData!C24+$B$13*Q6_ii_RawData!D24+$B$14*Q6_ii_RawData!E24+$B$15*Q6_ii_RawData!F24+$B$16*Q6_ii_RawData!G24+$B$17*Q6_ii_RawData!H24+$B$18*Q6_ii_RawData!I24+$B$19*Q6_ii_RawData!J24+$B$20*Q6_ii_RawData!K24</f>
        <v>3.0804300000000007E-2</v>
      </c>
      <c r="P45" s="20">
        <f t="shared" si="0"/>
        <v>-1.82446E-2</v>
      </c>
      <c r="Q45" s="20">
        <f t="shared" si="1"/>
        <v>-3.8743025999999993E-2</v>
      </c>
      <c r="R45" s="20">
        <f t="shared" si="2"/>
        <v>-4.1908366666666669E-2</v>
      </c>
      <c r="S45" s="20">
        <v>40</v>
      </c>
    </row>
    <row r="46" spans="1:19" x14ac:dyDescent="0.15">
      <c r="A46" s="79">
        <f>Q6_ii_RawData!A25</f>
        <v>45107</v>
      </c>
      <c r="B46" s="45">
        <f>$B$11*Q6_ii_RawData!B25+$B$12*Q6_ii_RawData!C25+$B$13*Q6_ii_RawData!D25+$B$14*Q6_ii_RawData!E25+$B$15*Q6_ii_RawData!F25+$B$16*Q6_ii_RawData!G25+$B$17*Q6_ii_RawData!H25+$B$18*Q6_ii_RawData!I25+$B$19*Q6_ii_RawData!J25+$B$20*Q6_ii_RawData!K25</f>
        <v>1.7455100000000001E-2</v>
      </c>
      <c r="P46" s="20">
        <f t="shared" si="0"/>
        <v>-1.7971400000000002E-2</v>
      </c>
      <c r="Q46" s="20">
        <f t="shared" si="1"/>
        <v>-3.8743025999999993E-2</v>
      </c>
      <c r="R46" s="20">
        <f t="shared" si="2"/>
        <v>-4.1908366666666669E-2</v>
      </c>
      <c r="S46" s="20">
        <v>41</v>
      </c>
    </row>
    <row r="47" spans="1:19" x14ac:dyDescent="0.15">
      <c r="A47" s="79">
        <f>Q6_ii_RawData!A26</f>
        <v>45110</v>
      </c>
      <c r="B47" s="45">
        <f>$B$11*Q6_ii_RawData!B26+$B$12*Q6_ii_RawData!C26+$B$13*Q6_ii_RawData!D26+$B$14*Q6_ii_RawData!E26+$B$15*Q6_ii_RawData!F26+$B$16*Q6_ii_RawData!G26+$B$17*Q6_ii_RawData!H26+$B$18*Q6_ii_RawData!I26+$B$19*Q6_ii_RawData!J26+$B$20*Q6_ii_RawData!K26</f>
        <v>5.931399999999999E-3</v>
      </c>
      <c r="P47" s="20">
        <f t="shared" si="0"/>
        <v>-1.7274200000000003E-2</v>
      </c>
      <c r="Q47" s="20">
        <f t="shared" si="1"/>
        <v>-3.8743025999999993E-2</v>
      </c>
      <c r="R47" s="20">
        <f t="shared" si="2"/>
        <v>-4.1908366666666669E-2</v>
      </c>
      <c r="S47" s="20">
        <v>42</v>
      </c>
    </row>
    <row r="48" spans="1:19" x14ac:dyDescent="0.15">
      <c r="A48" s="79">
        <f>Q6_ii_RawData!A27</f>
        <v>45112</v>
      </c>
      <c r="B48" s="45">
        <f>$B$11*Q6_ii_RawData!B27+$B$12*Q6_ii_RawData!C27+$B$13*Q6_ii_RawData!D27+$B$14*Q6_ii_RawData!E27+$B$15*Q6_ii_RawData!F27+$B$16*Q6_ii_RawData!G27+$B$17*Q6_ii_RawData!H27+$B$18*Q6_ii_RawData!I27+$B$19*Q6_ii_RawData!J27+$B$20*Q6_ii_RawData!K27</f>
        <v>-1.9632700000000003E-2</v>
      </c>
      <c r="P48" s="20">
        <f t="shared" si="0"/>
        <v>-1.69622E-2</v>
      </c>
      <c r="Q48" s="20">
        <f t="shared" si="1"/>
        <v>-3.8743025999999993E-2</v>
      </c>
      <c r="R48" s="20">
        <f t="shared" si="2"/>
        <v>-4.1908366666666669E-2</v>
      </c>
      <c r="S48" s="20">
        <v>43</v>
      </c>
    </row>
    <row r="49" spans="1:19" x14ac:dyDescent="0.15">
      <c r="A49" s="79">
        <f>Q6_ii_RawData!A28</f>
        <v>45113</v>
      </c>
      <c r="B49" s="45">
        <f>$B$11*Q6_ii_RawData!B28+$B$12*Q6_ii_RawData!C28+$B$13*Q6_ii_RawData!D28+$B$14*Q6_ii_RawData!E28+$B$15*Q6_ii_RawData!F28+$B$16*Q6_ii_RawData!G28+$B$17*Q6_ii_RawData!H28+$B$18*Q6_ii_RawData!I28+$B$19*Q6_ii_RawData!J28+$B$20*Q6_ii_RawData!K28</f>
        <v>1.3277799999999998E-2</v>
      </c>
      <c r="P49" s="20">
        <f t="shared" si="0"/>
        <v>-1.6947299999999998E-2</v>
      </c>
      <c r="Q49" s="20">
        <f t="shared" si="1"/>
        <v>-3.8743025999999993E-2</v>
      </c>
      <c r="R49" s="20">
        <f t="shared" si="2"/>
        <v>-4.1908366666666669E-2</v>
      </c>
      <c r="S49" s="20">
        <v>44</v>
      </c>
    </row>
    <row r="50" spans="1:19" x14ac:dyDescent="0.15">
      <c r="A50" s="79">
        <f>Q6_ii_RawData!A29</f>
        <v>45114</v>
      </c>
      <c r="B50" s="45">
        <f>$B$11*Q6_ii_RawData!B29+$B$12*Q6_ii_RawData!C29+$B$13*Q6_ii_RawData!D29+$B$14*Q6_ii_RawData!E29+$B$15*Q6_ii_RawData!F29+$B$16*Q6_ii_RawData!G29+$B$17*Q6_ii_RawData!H29+$B$18*Q6_ii_RawData!I29+$B$19*Q6_ii_RawData!J29+$B$20*Q6_ii_RawData!K29</f>
        <v>1.8033999999999998E-2</v>
      </c>
      <c r="P50" s="20">
        <f t="shared" si="0"/>
        <v>-1.6782100000000001E-2</v>
      </c>
      <c r="Q50" s="20">
        <f t="shared" si="1"/>
        <v>-3.8743025999999993E-2</v>
      </c>
      <c r="R50" s="20">
        <f t="shared" si="2"/>
        <v>-4.1908366666666669E-2</v>
      </c>
      <c r="S50" s="20">
        <v>45</v>
      </c>
    </row>
    <row r="51" spans="1:19" x14ac:dyDescent="0.15">
      <c r="A51" s="79">
        <f>Q6_ii_RawData!A30</f>
        <v>45117</v>
      </c>
      <c r="B51" s="45">
        <f>$B$11*Q6_ii_RawData!B30+$B$12*Q6_ii_RawData!C30+$B$13*Q6_ii_RawData!D30+$B$14*Q6_ii_RawData!E30+$B$15*Q6_ii_RawData!F30+$B$16*Q6_ii_RawData!G30+$B$17*Q6_ii_RawData!H30+$B$18*Q6_ii_RawData!I30+$B$19*Q6_ii_RawData!J30+$B$20*Q6_ii_RawData!K30</f>
        <v>2.3013700000000005E-2</v>
      </c>
      <c r="P51" s="20">
        <f t="shared" si="0"/>
        <v>-1.6776200000000002E-2</v>
      </c>
      <c r="Q51" s="20">
        <f t="shared" si="1"/>
        <v>-3.8743025999999993E-2</v>
      </c>
      <c r="R51" s="20">
        <f t="shared" si="2"/>
        <v>-4.1908366666666669E-2</v>
      </c>
      <c r="S51" s="20">
        <v>46</v>
      </c>
    </row>
    <row r="52" spans="1:19" x14ac:dyDescent="0.15">
      <c r="A52" s="79">
        <f>Q6_ii_RawData!A31</f>
        <v>45118</v>
      </c>
      <c r="B52" s="45">
        <f>$B$11*Q6_ii_RawData!B31+$B$12*Q6_ii_RawData!C31+$B$13*Q6_ii_RawData!D31+$B$14*Q6_ii_RawData!E31+$B$15*Q6_ii_RawData!F31+$B$16*Q6_ii_RawData!G31+$B$17*Q6_ii_RawData!H31+$B$18*Q6_ii_RawData!I31+$B$19*Q6_ii_RawData!J31+$B$20*Q6_ii_RawData!K31</f>
        <v>6.2748000000000005E-3</v>
      </c>
      <c r="P52" s="20">
        <f t="shared" si="0"/>
        <v>-1.6560600000000002E-2</v>
      </c>
      <c r="Q52" s="20">
        <f t="shared" si="1"/>
        <v>-3.8743025999999993E-2</v>
      </c>
      <c r="R52" s="20">
        <f t="shared" si="2"/>
        <v>-4.1908366666666669E-2</v>
      </c>
      <c r="S52" s="20">
        <v>47</v>
      </c>
    </row>
    <row r="53" spans="1:19" x14ac:dyDescent="0.15">
      <c r="A53" s="79">
        <f>Q6_ii_RawData!A32</f>
        <v>45119</v>
      </c>
      <c r="B53" s="45">
        <f>$B$11*Q6_ii_RawData!B32+$B$12*Q6_ii_RawData!C32+$B$13*Q6_ii_RawData!D32+$B$14*Q6_ii_RawData!E32+$B$15*Q6_ii_RawData!F32+$B$16*Q6_ii_RawData!G32+$B$17*Q6_ii_RawData!H32+$B$18*Q6_ii_RawData!I32+$B$19*Q6_ii_RawData!J32+$B$20*Q6_ii_RawData!K32</f>
        <v>2.5926100000000001E-2</v>
      </c>
      <c r="P53" s="20">
        <f t="shared" si="0"/>
        <v>-1.6495700000000002E-2</v>
      </c>
      <c r="Q53" s="20">
        <f t="shared" si="1"/>
        <v>-3.8743025999999993E-2</v>
      </c>
      <c r="R53" s="20">
        <f t="shared" si="2"/>
        <v>-4.1908366666666669E-2</v>
      </c>
      <c r="S53" s="20">
        <v>48</v>
      </c>
    </row>
    <row r="54" spans="1:19" x14ac:dyDescent="0.15">
      <c r="A54" s="79">
        <f>Q6_ii_RawData!A33</f>
        <v>45120</v>
      </c>
      <c r="B54" s="45">
        <f>$B$11*Q6_ii_RawData!B33+$B$12*Q6_ii_RawData!C33+$B$13*Q6_ii_RawData!D33+$B$14*Q6_ii_RawData!E33+$B$15*Q6_ii_RawData!F33+$B$16*Q6_ii_RawData!G33+$B$17*Q6_ii_RawData!H33+$B$18*Q6_ii_RawData!I33+$B$19*Q6_ii_RawData!J33+$B$20*Q6_ii_RawData!K33</f>
        <v>-3.4453600000000001E-2</v>
      </c>
      <c r="P54" s="20">
        <f t="shared" si="0"/>
        <v>-1.5940199999999995E-2</v>
      </c>
      <c r="Q54" s="20">
        <f t="shared" si="1"/>
        <v>-3.8743025999999993E-2</v>
      </c>
      <c r="R54" s="20">
        <f t="shared" si="2"/>
        <v>-4.1908366666666669E-2</v>
      </c>
      <c r="S54" s="20">
        <v>49</v>
      </c>
    </row>
    <row r="55" spans="1:19" x14ac:dyDescent="0.15">
      <c r="A55" s="79">
        <f>Q6_ii_RawData!A34</f>
        <v>45121</v>
      </c>
      <c r="B55" s="45">
        <f>$B$11*Q6_ii_RawData!B34+$B$12*Q6_ii_RawData!C34+$B$13*Q6_ii_RawData!D34+$B$14*Q6_ii_RawData!E34+$B$15*Q6_ii_RawData!F34+$B$16*Q6_ii_RawData!G34+$B$17*Q6_ii_RawData!H34+$B$18*Q6_ii_RawData!I34+$B$19*Q6_ii_RawData!J34+$B$20*Q6_ii_RawData!K34</f>
        <v>5.9590000000000008E-3</v>
      </c>
      <c r="P55" s="20">
        <f t="shared" si="0"/>
        <v>-1.5939200000000001E-2</v>
      </c>
      <c r="Q55" s="20">
        <f t="shared" si="1"/>
        <v>-3.8743025999999993E-2</v>
      </c>
      <c r="R55" s="20">
        <f t="shared" si="2"/>
        <v>-4.1908366666666669E-2</v>
      </c>
      <c r="S55" s="20">
        <v>50</v>
      </c>
    </row>
    <row r="56" spans="1:19" x14ac:dyDescent="0.15">
      <c r="A56" s="79">
        <f>Q6_ii_RawData!A35</f>
        <v>45124</v>
      </c>
      <c r="B56" s="45">
        <f>$B$11*Q6_ii_RawData!B35+$B$12*Q6_ii_RawData!C35+$B$13*Q6_ii_RawData!D35+$B$14*Q6_ii_RawData!E35+$B$15*Q6_ii_RawData!F35+$B$16*Q6_ii_RawData!G35+$B$17*Q6_ii_RawData!H35+$B$18*Q6_ii_RawData!I35+$B$19*Q6_ii_RawData!J35+$B$20*Q6_ii_RawData!K35</f>
        <v>1.4902200000000001E-2</v>
      </c>
      <c r="P56" s="20">
        <f t="shared" si="0"/>
        <v>-1.5783799999999997E-2</v>
      </c>
      <c r="Q56" s="20">
        <f t="shared" si="1"/>
        <v>-3.8743025999999993E-2</v>
      </c>
      <c r="R56" s="20">
        <f t="shared" si="2"/>
        <v>-4.1908366666666669E-2</v>
      </c>
      <c r="S56" s="20">
        <v>51</v>
      </c>
    </row>
    <row r="57" spans="1:19" x14ac:dyDescent="0.15">
      <c r="A57" s="79">
        <f>Q6_ii_RawData!A36</f>
        <v>45125</v>
      </c>
      <c r="B57" s="45">
        <f>$B$11*Q6_ii_RawData!B36+$B$12*Q6_ii_RawData!C36+$B$13*Q6_ii_RawData!D36+$B$14*Q6_ii_RawData!E36+$B$15*Q6_ii_RawData!F36+$B$16*Q6_ii_RawData!G36+$B$17*Q6_ii_RawData!H36+$B$18*Q6_ii_RawData!I36+$B$19*Q6_ii_RawData!J36+$B$20*Q6_ii_RawData!K36</f>
        <v>7.4716000000000019E-3</v>
      </c>
      <c r="P57" s="20">
        <f t="shared" si="0"/>
        <v>-1.57501E-2</v>
      </c>
      <c r="Q57" s="20">
        <f t="shared" si="1"/>
        <v>-3.8743025999999993E-2</v>
      </c>
      <c r="R57" s="20">
        <f t="shared" si="2"/>
        <v>-4.1908366666666669E-2</v>
      </c>
      <c r="S57" s="20">
        <v>52</v>
      </c>
    </row>
    <row r="58" spans="1:19" x14ac:dyDescent="0.15">
      <c r="A58" s="79">
        <f>Q6_ii_RawData!A37</f>
        <v>45126</v>
      </c>
      <c r="B58" s="45">
        <f>$B$11*Q6_ii_RawData!B37+$B$12*Q6_ii_RawData!C37+$B$13*Q6_ii_RawData!D37+$B$14*Q6_ii_RawData!E37+$B$15*Q6_ii_RawData!F37+$B$16*Q6_ii_RawData!G37+$B$17*Q6_ii_RawData!H37+$B$18*Q6_ii_RawData!I37+$B$19*Q6_ii_RawData!J37+$B$20*Q6_ii_RawData!K37</f>
        <v>-3.6235500000000004E-2</v>
      </c>
      <c r="P58" s="20">
        <f t="shared" si="0"/>
        <v>-1.5264100000000003E-2</v>
      </c>
      <c r="Q58" s="20">
        <f t="shared" si="1"/>
        <v>-3.8743025999999993E-2</v>
      </c>
      <c r="R58" s="20">
        <f t="shared" si="2"/>
        <v>-4.1908366666666669E-2</v>
      </c>
      <c r="S58" s="20">
        <v>53</v>
      </c>
    </row>
    <row r="59" spans="1:19" x14ac:dyDescent="0.15">
      <c r="A59" s="79">
        <f>Q6_ii_RawData!A38</f>
        <v>45127</v>
      </c>
      <c r="B59" s="45">
        <f>$B$11*Q6_ii_RawData!B38+$B$12*Q6_ii_RawData!C38+$B$13*Q6_ii_RawData!D38+$B$14*Q6_ii_RawData!E38+$B$15*Q6_ii_RawData!F38+$B$16*Q6_ii_RawData!G38+$B$17*Q6_ii_RawData!H38+$B$18*Q6_ii_RawData!I38+$B$19*Q6_ii_RawData!J38+$B$20*Q6_ii_RawData!K38</f>
        <v>-4.4566999999999992E-3</v>
      </c>
      <c r="P59" s="20">
        <f t="shared" si="0"/>
        <v>-1.48053E-2</v>
      </c>
      <c r="Q59" s="20">
        <f t="shared" si="1"/>
        <v>-3.8743025999999993E-2</v>
      </c>
      <c r="R59" s="20">
        <f t="shared" si="2"/>
        <v>-4.1908366666666669E-2</v>
      </c>
      <c r="S59" s="20">
        <v>54</v>
      </c>
    </row>
    <row r="60" spans="1:19" x14ac:dyDescent="0.15">
      <c r="A60" s="79">
        <f>Q6_ii_RawData!A39</f>
        <v>45128</v>
      </c>
      <c r="B60" s="45">
        <f>$B$11*Q6_ii_RawData!B39+$B$12*Q6_ii_RawData!C39+$B$13*Q6_ii_RawData!D39+$B$14*Q6_ii_RawData!E39+$B$15*Q6_ii_RawData!F39+$B$16*Q6_ii_RawData!G39+$B$17*Q6_ii_RawData!H39+$B$18*Q6_ii_RawData!I39+$B$19*Q6_ii_RawData!J39+$B$20*Q6_ii_RawData!K39</f>
        <v>1.2100999999999999E-2</v>
      </c>
      <c r="P60" s="20">
        <f t="shared" si="0"/>
        <v>-1.38718E-2</v>
      </c>
      <c r="Q60" s="20">
        <f t="shared" si="1"/>
        <v>-3.8743025999999993E-2</v>
      </c>
      <c r="R60" s="20">
        <f t="shared" si="2"/>
        <v>-4.1908366666666669E-2</v>
      </c>
      <c r="S60" s="20">
        <v>55</v>
      </c>
    </row>
    <row r="61" spans="1:19" x14ac:dyDescent="0.15">
      <c r="A61" s="79">
        <f>Q6_ii_RawData!A40</f>
        <v>45131</v>
      </c>
      <c r="B61" s="45">
        <f>$B$11*Q6_ii_RawData!B40+$B$12*Q6_ii_RawData!C40+$B$13*Q6_ii_RawData!D40+$B$14*Q6_ii_RawData!E40+$B$15*Q6_ii_RawData!F40+$B$16*Q6_ii_RawData!G40+$B$17*Q6_ii_RawData!H40+$B$18*Q6_ii_RawData!I40+$B$19*Q6_ii_RawData!J40+$B$20*Q6_ii_RawData!K40</f>
        <v>-2.3577000000000003E-3</v>
      </c>
      <c r="P61" s="20">
        <f t="shared" si="0"/>
        <v>-1.3821499999999997E-2</v>
      </c>
      <c r="Q61" s="20">
        <f t="shared" si="1"/>
        <v>-3.8743025999999993E-2</v>
      </c>
      <c r="R61" s="20">
        <f t="shared" si="2"/>
        <v>-4.1908366666666669E-2</v>
      </c>
      <c r="S61" s="20">
        <v>56</v>
      </c>
    </row>
    <row r="62" spans="1:19" x14ac:dyDescent="0.15">
      <c r="A62" s="79">
        <f>Q6_ii_RawData!A41</f>
        <v>45132</v>
      </c>
      <c r="B62" s="45">
        <f>$B$11*Q6_ii_RawData!B41+$B$12*Q6_ii_RawData!C41+$B$13*Q6_ii_RawData!D41+$B$14*Q6_ii_RawData!E41+$B$15*Q6_ii_RawData!F41+$B$16*Q6_ii_RawData!G41+$B$17*Q6_ii_RawData!H41+$B$18*Q6_ii_RawData!I41+$B$19*Q6_ii_RawData!J41+$B$20*Q6_ii_RawData!K41</f>
        <v>-3.7274999999999986E-3</v>
      </c>
      <c r="P62" s="20">
        <f t="shared" si="0"/>
        <v>-1.3331800000000001E-2</v>
      </c>
      <c r="Q62" s="20">
        <f t="shared" si="1"/>
        <v>-3.8743025999999993E-2</v>
      </c>
      <c r="R62" s="20">
        <f t="shared" si="2"/>
        <v>-4.1908366666666669E-2</v>
      </c>
      <c r="S62" s="20">
        <v>57</v>
      </c>
    </row>
    <row r="63" spans="1:19" x14ac:dyDescent="0.15">
      <c r="A63" s="79">
        <f>Q6_ii_RawData!A42</f>
        <v>45133</v>
      </c>
      <c r="B63" s="45">
        <f>$B$11*Q6_ii_RawData!B42+$B$12*Q6_ii_RawData!C42+$B$13*Q6_ii_RawData!D42+$B$14*Q6_ii_RawData!E42+$B$15*Q6_ii_RawData!F42+$B$16*Q6_ii_RawData!G42+$B$17*Q6_ii_RawData!H42+$B$18*Q6_ii_RawData!I42+$B$19*Q6_ii_RawData!J42+$B$20*Q6_ii_RawData!K42</f>
        <v>-1.1298899999999999E-2</v>
      </c>
      <c r="P63" s="20">
        <f t="shared" si="0"/>
        <v>-1.3076399999999997E-2</v>
      </c>
      <c r="Q63" s="20">
        <f t="shared" si="1"/>
        <v>-3.8743025999999993E-2</v>
      </c>
      <c r="R63" s="20">
        <f t="shared" si="2"/>
        <v>-4.1908366666666669E-2</v>
      </c>
      <c r="S63" s="20">
        <v>58</v>
      </c>
    </row>
    <row r="64" spans="1:19" x14ac:dyDescent="0.15">
      <c r="A64" s="79">
        <f>Q6_ii_RawData!A43</f>
        <v>45134</v>
      </c>
      <c r="B64" s="45">
        <f>$B$11*Q6_ii_RawData!B43+$B$12*Q6_ii_RawData!C43+$B$13*Q6_ii_RawData!D43+$B$14*Q6_ii_RawData!E43+$B$15*Q6_ii_RawData!F43+$B$16*Q6_ii_RawData!G43+$B$17*Q6_ii_RawData!H43+$B$18*Q6_ii_RawData!I43+$B$19*Q6_ii_RawData!J43+$B$20*Q6_ii_RawData!K43</f>
        <v>3.7755400000000008E-2</v>
      </c>
      <c r="P64" s="20">
        <f t="shared" si="0"/>
        <v>-1.2861000000000001E-2</v>
      </c>
      <c r="Q64" s="20">
        <f t="shared" si="1"/>
        <v>-3.8743025999999993E-2</v>
      </c>
      <c r="R64" s="20">
        <f t="shared" si="2"/>
        <v>-4.1908366666666669E-2</v>
      </c>
      <c r="S64" s="20">
        <v>59</v>
      </c>
    </row>
    <row r="65" spans="1:19" x14ac:dyDescent="0.15">
      <c r="A65" s="79">
        <f>Q6_ii_RawData!A44</f>
        <v>45135</v>
      </c>
      <c r="B65" s="45">
        <f>$B$11*Q6_ii_RawData!B44+$B$12*Q6_ii_RawData!C44+$B$13*Q6_ii_RawData!D44+$B$14*Q6_ii_RawData!E44+$B$15*Q6_ii_RawData!F44+$B$16*Q6_ii_RawData!G44+$B$17*Q6_ii_RawData!H44+$B$18*Q6_ii_RawData!I44+$B$19*Q6_ii_RawData!J44+$B$20*Q6_ii_RawData!K44</f>
        <v>2.3944600000000003E-2</v>
      </c>
      <c r="P65" s="20">
        <f t="shared" si="0"/>
        <v>-1.2845000000000001E-2</v>
      </c>
      <c r="Q65" s="20">
        <f t="shared" si="1"/>
        <v>-3.8743025999999993E-2</v>
      </c>
      <c r="R65" s="20">
        <f t="shared" si="2"/>
        <v>-4.1908366666666669E-2</v>
      </c>
      <c r="S65" s="20">
        <v>60</v>
      </c>
    </row>
    <row r="66" spans="1:19" x14ac:dyDescent="0.15">
      <c r="A66" s="79">
        <f>Q6_ii_RawData!A45</f>
        <v>45138</v>
      </c>
      <c r="B66" s="45">
        <f>$B$11*Q6_ii_RawData!B45+$B$12*Q6_ii_RawData!C45+$B$13*Q6_ii_RawData!D45+$B$14*Q6_ii_RawData!E45+$B$15*Q6_ii_RawData!F45+$B$16*Q6_ii_RawData!G45+$B$17*Q6_ii_RawData!H45+$B$18*Q6_ii_RawData!I45+$B$19*Q6_ii_RawData!J45+$B$20*Q6_ii_RawData!K45</f>
        <v>-2.0956399999999997E-2</v>
      </c>
      <c r="P66" s="20">
        <f t="shared" si="0"/>
        <v>-1.2608899999999999E-2</v>
      </c>
      <c r="Q66" s="20">
        <f t="shared" si="1"/>
        <v>-3.8743025999999993E-2</v>
      </c>
      <c r="R66" s="20">
        <f t="shared" si="2"/>
        <v>-4.1908366666666669E-2</v>
      </c>
      <c r="S66" s="20">
        <v>61</v>
      </c>
    </row>
    <row r="67" spans="1:19" x14ac:dyDescent="0.15">
      <c r="A67" s="79">
        <f>Q6_ii_RawData!A46</f>
        <v>45139</v>
      </c>
      <c r="B67" s="45">
        <f>$B$11*Q6_ii_RawData!B46+$B$12*Q6_ii_RawData!C46+$B$13*Q6_ii_RawData!D46+$B$14*Q6_ii_RawData!E46+$B$15*Q6_ii_RawData!F46+$B$16*Q6_ii_RawData!G46+$B$17*Q6_ii_RawData!H46+$B$18*Q6_ii_RawData!I46+$B$19*Q6_ii_RawData!J46+$B$20*Q6_ii_RawData!K46</f>
        <v>-2.5253500000000005E-2</v>
      </c>
      <c r="P67" s="20">
        <f t="shared" si="0"/>
        <v>-1.2297100000000002E-2</v>
      </c>
      <c r="Q67" s="20">
        <f t="shared" si="1"/>
        <v>-3.8743025999999993E-2</v>
      </c>
      <c r="R67" s="20">
        <f t="shared" si="2"/>
        <v>-4.1908366666666669E-2</v>
      </c>
      <c r="S67" s="20">
        <v>62</v>
      </c>
    </row>
    <row r="68" spans="1:19" x14ac:dyDescent="0.15">
      <c r="A68" s="79">
        <f>Q6_ii_RawData!A47</f>
        <v>45140</v>
      </c>
      <c r="B68" s="45">
        <f>$B$11*Q6_ii_RawData!B47+$B$12*Q6_ii_RawData!C47+$B$13*Q6_ii_RawData!D47+$B$14*Q6_ii_RawData!E47+$B$15*Q6_ii_RawData!F47+$B$16*Q6_ii_RawData!G47+$B$17*Q6_ii_RawData!H47+$B$18*Q6_ii_RawData!I47+$B$19*Q6_ii_RawData!J47+$B$20*Q6_ii_RawData!K47</f>
        <v>4.3585000000000004E-3</v>
      </c>
      <c r="P68" s="20">
        <f t="shared" si="0"/>
        <v>-1.2152600000000001E-2</v>
      </c>
      <c r="Q68" s="20">
        <f t="shared" si="1"/>
        <v>-3.8743025999999993E-2</v>
      </c>
      <c r="R68" s="20">
        <f t="shared" si="2"/>
        <v>-4.1908366666666669E-2</v>
      </c>
      <c r="S68" s="20">
        <v>63</v>
      </c>
    </row>
    <row r="69" spans="1:19" x14ac:dyDescent="0.15">
      <c r="A69" s="79">
        <f>Q6_ii_RawData!A48</f>
        <v>45141</v>
      </c>
      <c r="B69" s="45">
        <f>$B$11*Q6_ii_RawData!B48+$B$12*Q6_ii_RawData!C48+$B$13*Q6_ii_RawData!D48+$B$14*Q6_ii_RawData!E48+$B$15*Q6_ii_RawData!F48+$B$16*Q6_ii_RawData!G48+$B$17*Q6_ii_RawData!H48+$B$18*Q6_ii_RawData!I48+$B$19*Q6_ii_RawData!J48+$B$20*Q6_ii_RawData!K48</f>
        <v>-5.5767000000000004E-3</v>
      </c>
      <c r="P69" s="20">
        <f t="shared" si="0"/>
        <v>-1.1769399999999999E-2</v>
      </c>
      <c r="Q69" s="20">
        <f t="shared" si="1"/>
        <v>-3.8743025999999993E-2</v>
      </c>
      <c r="R69" s="20">
        <f t="shared" si="2"/>
        <v>-4.1908366666666669E-2</v>
      </c>
      <c r="S69" s="20">
        <v>64</v>
      </c>
    </row>
    <row r="70" spans="1:19" x14ac:dyDescent="0.15">
      <c r="A70" s="79">
        <f>Q6_ii_RawData!A49</f>
        <v>45142</v>
      </c>
      <c r="B70" s="45">
        <f>$B$11*Q6_ii_RawData!B49+$B$12*Q6_ii_RawData!C49+$B$13*Q6_ii_RawData!D49+$B$14*Q6_ii_RawData!E49+$B$15*Q6_ii_RawData!F49+$B$16*Q6_ii_RawData!G49+$B$17*Q6_ii_RawData!H49+$B$18*Q6_ii_RawData!I49+$B$19*Q6_ii_RawData!J49+$B$20*Q6_ii_RawData!K49</f>
        <v>-4.5160000000000024E-4</v>
      </c>
      <c r="P70" s="20">
        <f t="shared" ref="P70:P133" si="7">SMALL($B$23:$B$274,ROW()-5)</f>
        <v>-1.1622500000000001E-2</v>
      </c>
      <c r="Q70" s="20">
        <f t="shared" ref="Q70:Q133" si="8">-$E$26/$B$6</f>
        <v>-3.8743025999999993E-2</v>
      </c>
      <c r="R70" s="20">
        <f t="shared" ref="R70:R133" si="9">-$E$27/$B$6</f>
        <v>-4.1908366666666669E-2</v>
      </c>
      <c r="S70" s="20">
        <v>65</v>
      </c>
    </row>
    <row r="71" spans="1:19" x14ac:dyDescent="0.15">
      <c r="A71" s="79">
        <f>Q6_ii_RawData!A50</f>
        <v>45145</v>
      </c>
      <c r="B71" s="45">
        <f>$B$11*Q6_ii_RawData!B50+$B$12*Q6_ii_RawData!C50+$B$13*Q6_ii_RawData!D50+$B$14*Q6_ii_RawData!E50+$B$15*Q6_ii_RawData!F50+$B$16*Q6_ii_RawData!G50+$B$17*Q6_ii_RawData!H50+$B$18*Q6_ii_RawData!I50+$B$19*Q6_ii_RawData!J50+$B$20*Q6_ii_RawData!K50</f>
        <v>-6.7518000000000005E-3</v>
      </c>
      <c r="P71" s="20">
        <f t="shared" si="7"/>
        <v>-1.1482800000000001E-2</v>
      </c>
      <c r="Q71" s="20">
        <f t="shared" si="8"/>
        <v>-3.8743025999999993E-2</v>
      </c>
      <c r="R71" s="20">
        <f t="shared" si="9"/>
        <v>-4.1908366666666669E-2</v>
      </c>
      <c r="S71" s="20">
        <v>66</v>
      </c>
    </row>
    <row r="72" spans="1:19" x14ac:dyDescent="0.15">
      <c r="A72" s="79">
        <f>Q6_ii_RawData!A51</f>
        <v>45146</v>
      </c>
      <c r="B72" s="45">
        <f>$B$11*Q6_ii_RawData!B51+$B$12*Q6_ii_RawData!C51+$B$13*Q6_ii_RawData!D51+$B$14*Q6_ii_RawData!E51+$B$15*Q6_ii_RawData!F51+$B$16*Q6_ii_RawData!G51+$B$17*Q6_ii_RawData!H51+$B$18*Q6_ii_RawData!I51+$B$19*Q6_ii_RawData!J51+$B$20*Q6_ii_RawData!K51</f>
        <v>-2.1095599999999999E-2</v>
      </c>
      <c r="P72" s="20">
        <f t="shared" si="7"/>
        <v>-1.1298899999999999E-2</v>
      </c>
      <c r="Q72" s="20">
        <f t="shared" si="8"/>
        <v>-3.8743025999999993E-2</v>
      </c>
      <c r="R72" s="20">
        <f t="shared" si="9"/>
        <v>-4.1908366666666669E-2</v>
      </c>
      <c r="S72" s="20">
        <v>67</v>
      </c>
    </row>
    <row r="73" spans="1:19" x14ac:dyDescent="0.15">
      <c r="A73" s="79">
        <f>Q6_ii_RawData!A52</f>
        <v>45147</v>
      </c>
      <c r="B73" s="45">
        <f>$B$11*Q6_ii_RawData!B52+$B$12*Q6_ii_RawData!C52+$B$13*Q6_ii_RawData!D52+$B$14*Q6_ii_RawData!E52+$B$15*Q6_ii_RawData!F52+$B$16*Q6_ii_RawData!G52+$B$17*Q6_ii_RawData!H52+$B$18*Q6_ii_RawData!I52+$B$19*Q6_ii_RawData!J52+$B$20*Q6_ii_RawData!K52</f>
        <v>-8.4685000000000003E-3</v>
      </c>
      <c r="P73" s="20">
        <f t="shared" si="7"/>
        <v>-1.1018900000000005E-2</v>
      </c>
      <c r="Q73" s="20">
        <f t="shared" si="8"/>
        <v>-3.8743025999999993E-2</v>
      </c>
      <c r="R73" s="20">
        <f t="shared" si="9"/>
        <v>-4.1908366666666669E-2</v>
      </c>
      <c r="S73" s="20">
        <v>68</v>
      </c>
    </row>
    <row r="74" spans="1:19" x14ac:dyDescent="0.15">
      <c r="A74" s="79">
        <f>Q6_ii_RawData!A53</f>
        <v>45148</v>
      </c>
      <c r="B74" s="45">
        <f>$B$11*Q6_ii_RawData!B53+$B$12*Q6_ii_RawData!C53+$B$13*Q6_ii_RawData!D53+$B$14*Q6_ii_RawData!E53+$B$15*Q6_ii_RawData!F53+$B$16*Q6_ii_RawData!G53+$B$17*Q6_ii_RawData!H53+$B$18*Q6_ii_RawData!I53+$B$19*Q6_ii_RawData!J53+$B$20*Q6_ii_RawData!K53</f>
        <v>-1.2297100000000002E-2</v>
      </c>
      <c r="P74" s="20">
        <f t="shared" si="7"/>
        <v>-1.09417E-2</v>
      </c>
      <c r="Q74" s="20">
        <f t="shared" si="8"/>
        <v>-3.8743025999999993E-2</v>
      </c>
      <c r="R74" s="20">
        <f t="shared" si="9"/>
        <v>-4.1908366666666669E-2</v>
      </c>
      <c r="S74" s="20">
        <v>69</v>
      </c>
    </row>
    <row r="75" spans="1:19" x14ac:dyDescent="0.15">
      <c r="A75" s="79">
        <f>Q6_ii_RawData!A54</f>
        <v>45149</v>
      </c>
      <c r="B75" s="45">
        <f>$B$11*Q6_ii_RawData!B54+$B$12*Q6_ii_RawData!C54+$B$13*Q6_ii_RawData!D54+$B$14*Q6_ii_RawData!E54+$B$15*Q6_ii_RawData!F54+$B$16*Q6_ii_RawData!G54+$B$17*Q6_ii_RawData!H54+$B$18*Q6_ii_RawData!I54+$B$19*Q6_ii_RawData!J54+$B$20*Q6_ii_RawData!K54</f>
        <v>3.2142E-3</v>
      </c>
      <c r="P75" s="20">
        <f t="shared" si="7"/>
        <v>-1.0586500000000002E-2</v>
      </c>
      <c r="Q75" s="20">
        <f t="shared" si="8"/>
        <v>-3.8743025999999993E-2</v>
      </c>
      <c r="R75" s="20">
        <f t="shared" si="9"/>
        <v>-4.1908366666666669E-2</v>
      </c>
      <c r="S75" s="20">
        <v>70</v>
      </c>
    </row>
    <row r="76" spans="1:19" x14ac:dyDescent="0.15">
      <c r="A76" s="79">
        <f>Q6_ii_RawData!A55</f>
        <v>45152</v>
      </c>
      <c r="B76" s="45">
        <f>$B$11*Q6_ii_RawData!B55+$B$12*Q6_ii_RawData!C55+$B$13*Q6_ii_RawData!D55+$B$14*Q6_ii_RawData!E55+$B$15*Q6_ii_RawData!F55+$B$16*Q6_ii_RawData!G55+$B$17*Q6_ii_RawData!H55+$B$18*Q6_ii_RawData!I55+$B$19*Q6_ii_RawData!J55+$B$20*Q6_ii_RawData!K55</f>
        <v>-2.8476900000000006E-2</v>
      </c>
      <c r="P76" s="20">
        <f t="shared" si="7"/>
        <v>-1.02448E-2</v>
      </c>
      <c r="Q76" s="20">
        <f t="shared" si="8"/>
        <v>-3.8743025999999993E-2</v>
      </c>
      <c r="R76" s="20">
        <f t="shared" si="9"/>
        <v>-4.1908366666666669E-2</v>
      </c>
      <c r="S76" s="20">
        <v>71</v>
      </c>
    </row>
    <row r="77" spans="1:19" x14ac:dyDescent="0.15">
      <c r="A77" s="79">
        <f>Q6_ii_RawData!A56</f>
        <v>45153</v>
      </c>
      <c r="B77" s="45">
        <f>$B$11*Q6_ii_RawData!B56+$B$12*Q6_ii_RawData!C56+$B$13*Q6_ii_RawData!D56+$B$14*Q6_ii_RawData!E56+$B$15*Q6_ii_RawData!F56+$B$16*Q6_ii_RawData!G56+$B$17*Q6_ii_RawData!H56+$B$18*Q6_ii_RawData!I56+$B$19*Q6_ii_RawData!J56+$B$20*Q6_ii_RawData!K56</f>
        <v>-2.1476600000000005E-2</v>
      </c>
      <c r="P77" s="20">
        <f t="shared" si="7"/>
        <v>-1.0141900000000002E-2</v>
      </c>
      <c r="Q77" s="20">
        <f t="shared" si="8"/>
        <v>-3.8743025999999993E-2</v>
      </c>
      <c r="R77" s="20">
        <f t="shared" si="9"/>
        <v>-4.1908366666666669E-2</v>
      </c>
      <c r="S77" s="20">
        <v>72</v>
      </c>
    </row>
    <row r="78" spans="1:19" x14ac:dyDescent="0.15">
      <c r="A78" s="79">
        <f>Q6_ii_RawData!A57</f>
        <v>45154</v>
      </c>
      <c r="B78" s="45">
        <f>$B$11*Q6_ii_RawData!B57+$B$12*Q6_ii_RawData!C57+$B$13*Q6_ii_RawData!D57+$B$14*Q6_ii_RawData!E57+$B$15*Q6_ii_RawData!F57+$B$16*Q6_ii_RawData!G57+$B$17*Q6_ii_RawData!H57+$B$18*Q6_ii_RawData!I57+$B$19*Q6_ii_RawData!J57+$B$20*Q6_ii_RawData!K57</f>
        <v>-2.0197E-2</v>
      </c>
      <c r="P78" s="20">
        <f t="shared" si="7"/>
        <v>-9.864000000000003E-3</v>
      </c>
      <c r="Q78" s="20">
        <f t="shared" si="8"/>
        <v>-3.8743025999999993E-2</v>
      </c>
      <c r="R78" s="20">
        <f t="shared" si="9"/>
        <v>-4.1908366666666669E-2</v>
      </c>
      <c r="S78" s="20">
        <v>73</v>
      </c>
    </row>
    <row r="79" spans="1:19" x14ac:dyDescent="0.15">
      <c r="A79" s="79">
        <f>Q6_ii_RawData!A58</f>
        <v>45155</v>
      </c>
      <c r="B79" s="45">
        <f>$B$11*Q6_ii_RawData!B58+$B$12*Q6_ii_RawData!C58+$B$13*Q6_ii_RawData!D58+$B$14*Q6_ii_RawData!E58+$B$15*Q6_ii_RawData!F58+$B$16*Q6_ii_RawData!G58+$B$17*Q6_ii_RawData!H58+$B$18*Q6_ii_RawData!I58+$B$19*Q6_ii_RawData!J58+$B$20*Q6_ii_RawData!K58</f>
        <v>-1.1018900000000005E-2</v>
      </c>
      <c r="P79" s="20">
        <f t="shared" si="7"/>
        <v>-9.1082000000000003E-3</v>
      </c>
      <c r="Q79" s="20">
        <f t="shared" si="8"/>
        <v>-3.8743025999999993E-2</v>
      </c>
      <c r="R79" s="20">
        <f t="shared" si="9"/>
        <v>-4.1908366666666669E-2</v>
      </c>
      <c r="S79" s="20">
        <v>74</v>
      </c>
    </row>
    <row r="80" spans="1:19" x14ac:dyDescent="0.15">
      <c r="A80" s="79">
        <f>Q6_ii_RawData!A59</f>
        <v>45156</v>
      </c>
      <c r="B80" s="45">
        <f>$B$11*Q6_ii_RawData!B59+$B$12*Q6_ii_RawData!C59+$B$13*Q6_ii_RawData!D59+$B$14*Q6_ii_RawData!E59+$B$15*Q6_ii_RawData!F59+$B$16*Q6_ii_RawData!G59+$B$17*Q6_ii_RawData!H59+$B$18*Q6_ii_RawData!I59+$B$19*Q6_ii_RawData!J59+$B$20*Q6_ii_RawData!K59</f>
        <v>1.2204799999999998E-2</v>
      </c>
      <c r="P80" s="20">
        <f t="shared" si="7"/>
        <v>-8.7570000000000009E-3</v>
      </c>
      <c r="Q80" s="20">
        <f t="shared" si="8"/>
        <v>-3.8743025999999993E-2</v>
      </c>
      <c r="R80" s="20">
        <f t="shared" si="9"/>
        <v>-4.1908366666666669E-2</v>
      </c>
      <c r="S80" s="20">
        <v>75</v>
      </c>
    </row>
    <row r="81" spans="1:19" x14ac:dyDescent="0.15">
      <c r="A81" s="79">
        <f>Q6_ii_RawData!A60</f>
        <v>45159</v>
      </c>
      <c r="B81" s="45">
        <f>$B$11*Q6_ii_RawData!B60+$B$12*Q6_ii_RawData!C60+$B$13*Q6_ii_RawData!D60+$B$14*Q6_ii_RawData!E60+$B$15*Q6_ii_RawData!F60+$B$16*Q6_ii_RawData!G60+$B$17*Q6_ii_RawData!H60+$B$18*Q6_ii_RawData!I60+$B$19*Q6_ii_RawData!J60+$B$20*Q6_ii_RawData!K60</f>
        <v>-1.09417E-2</v>
      </c>
      <c r="P81" s="20">
        <f t="shared" si="7"/>
        <v>-8.4685000000000003E-3</v>
      </c>
      <c r="Q81" s="20">
        <f t="shared" si="8"/>
        <v>-3.8743025999999993E-2</v>
      </c>
      <c r="R81" s="20">
        <f t="shared" si="9"/>
        <v>-4.1908366666666669E-2</v>
      </c>
      <c r="S81" s="20">
        <v>76</v>
      </c>
    </row>
    <row r="82" spans="1:19" x14ac:dyDescent="0.15">
      <c r="A82" s="79">
        <f>Q6_ii_RawData!A61</f>
        <v>45160</v>
      </c>
      <c r="B82" s="45">
        <f>$B$11*Q6_ii_RawData!B61+$B$12*Q6_ii_RawData!C61+$B$13*Q6_ii_RawData!D61+$B$14*Q6_ii_RawData!E61+$B$15*Q6_ii_RawData!F61+$B$16*Q6_ii_RawData!G61+$B$17*Q6_ii_RawData!H61+$B$18*Q6_ii_RawData!I61+$B$19*Q6_ii_RawData!J61+$B$20*Q6_ii_RawData!K61</f>
        <v>2.1701399999999999E-2</v>
      </c>
      <c r="P82" s="20">
        <f t="shared" si="7"/>
        <v>-8.2660000000000025E-3</v>
      </c>
      <c r="Q82" s="20">
        <f t="shared" si="8"/>
        <v>-3.8743025999999993E-2</v>
      </c>
      <c r="R82" s="20">
        <f t="shared" si="9"/>
        <v>-4.1908366666666669E-2</v>
      </c>
      <c r="S82" s="20">
        <v>77</v>
      </c>
    </row>
    <row r="83" spans="1:19" x14ac:dyDescent="0.15">
      <c r="A83" s="79">
        <f>Q6_ii_RawData!A62</f>
        <v>45161</v>
      </c>
      <c r="B83" s="45">
        <f>$B$11*Q6_ii_RawData!B62+$B$12*Q6_ii_RawData!C62+$B$13*Q6_ii_RawData!D62+$B$14*Q6_ii_RawData!E62+$B$15*Q6_ii_RawData!F62+$B$16*Q6_ii_RawData!G62+$B$17*Q6_ii_RawData!H62+$B$18*Q6_ii_RawData!I62+$B$19*Q6_ii_RawData!J62+$B$20*Q6_ii_RawData!K62</f>
        <v>-2.9431300000000001E-2</v>
      </c>
      <c r="P83" s="20">
        <f t="shared" si="7"/>
        <v>-8.0941000000000016E-3</v>
      </c>
      <c r="Q83" s="20">
        <f t="shared" si="8"/>
        <v>-3.8743025999999993E-2</v>
      </c>
      <c r="R83" s="20">
        <f t="shared" si="9"/>
        <v>-4.1908366666666669E-2</v>
      </c>
      <c r="S83" s="20">
        <v>78</v>
      </c>
    </row>
    <row r="84" spans="1:19" x14ac:dyDescent="0.15">
      <c r="A84" s="79">
        <f>Q6_ii_RawData!A63</f>
        <v>45162</v>
      </c>
      <c r="B84" s="45">
        <f>$B$11*Q6_ii_RawData!B63+$B$12*Q6_ii_RawData!C63+$B$13*Q6_ii_RawData!D63+$B$14*Q6_ii_RawData!E63+$B$15*Q6_ii_RawData!F63+$B$16*Q6_ii_RawData!G63+$B$17*Q6_ii_RawData!H63+$B$18*Q6_ii_RawData!I63+$B$19*Q6_ii_RawData!J63+$B$20*Q6_ii_RawData!K63</f>
        <v>7.2741999999999998E-3</v>
      </c>
      <c r="P84" s="20">
        <f t="shared" si="7"/>
        <v>-7.3945999999999986E-3</v>
      </c>
      <c r="Q84" s="20">
        <f t="shared" si="8"/>
        <v>-3.8743025999999993E-2</v>
      </c>
      <c r="R84" s="20">
        <f t="shared" si="9"/>
        <v>-4.1908366666666669E-2</v>
      </c>
      <c r="S84" s="20">
        <v>79</v>
      </c>
    </row>
    <row r="85" spans="1:19" x14ac:dyDescent="0.15">
      <c r="A85" s="79">
        <f>Q6_ii_RawData!A64</f>
        <v>45163</v>
      </c>
      <c r="B85" s="45">
        <f>$B$11*Q6_ii_RawData!B64+$B$12*Q6_ii_RawData!C64+$B$13*Q6_ii_RawData!D64+$B$14*Q6_ii_RawData!E64+$B$15*Q6_ii_RawData!F64+$B$16*Q6_ii_RawData!G64+$B$17*Q6_ii_RawData!H64+$B$18*Q6_ii_RawData!I64+$B$19*Q6_ii_RawData!J64+$B$20*Q6_ii_RawData!K64</f>
        <v>6.7156999999999998E-3</v>
      </c>
      <c r="P85" s="20">
        <f t="shared" si="7"/>
        <v>-7.3382000000000031E-3</v>
      </c>
      <c r="Q85" s="20">
        <f t="shared" si="8"/>
        <v>-3.8743025999999993E-2</v>
      </c>
      <c r="R85" s="20">
        <f t="shared" si="9"/>
        <v>-4.1908366666666669E-2</v>
      </c>
      <c r="S85" s="20">
        <v>80</v>
      </c>
    </row>
    <row r="86" spans="1:19" x14ac:dyDescent="0.15">
      <c r="A86" s="79">
        <f>Q6_ii_RawData!A65</f>
        <v>45166</v>
      </c>
      <c r="B86" s="45">
        <f>$B$11*Q6_ii_RawData!B65+$B$12*Q6_ii_RawData!C65+$B$13*Q6_ii_RawData!D65+$B$14*Q6_ii_RawData!E65+$B$15*Q6_ii_RawData!F65+$B$16*Q6_ii_RawData!G65+$B$17*Q6_ii_RawData!H65+$B$18*Q6_ii_RawData!I65+$B$19*Q6_ii_RawData!J65+$B$20*Q6_ii_RawData!K65</f>
        <v>5.0713000000000001E-2</v>
      </c>
      <c r="P86" s="20">
        <f t="shared" si="7"/>
        <v>-6.9956999999999997E-3</v>
      </c>
      <c r="Q86" s="20">
        <f t="shared" si="8"/>
        <v>-3.8743025999999993E-2</v>
      </c>
      <c r="R86" s="20">
        <f t="shared" si="9"/>
        <v>-4.1908366666666669E-2</v>
      </c>
      <c r="S86" s="20">
        <v>81</v>
      </c>
    </row>
    <row r="87" spans="1:19" x14ac:dyDescent="0.15">
      <c r="A87" s="79">
        <f>Q6_ii_RawData!A66</f>
        <v>45167</v>
      </c>
      <c r="B87" s="45">
        <f>$B$11*Q6_ii_RawData!B66+$B$12*Q6_ii_RawData!C66+$B$13*Q6_ii_RawData!D66+$B$14*Q6_ii_RawData!E66+$B$15*Q6_ii_RawData!F66+$B$16*Q6_ii_RawData!G66+$B$17*Q6_ii_RawData!H66+$B$18*Q6_ii_RawData!I66+$B$19*Q6_ii_RawData!J66+$B$20*Q6_ii_RawData!K66</f>
        <v>4.7819999999999998E-3</v>
      </c>
      <c r="P87" s="20">
        <f t="shared" si="7"/>
        <v>-6.8968999999999992E-3</v>
      </c>
      <c r="Q87" s="20">
        <f t="shared" si="8"/>
        <v>-3.8743025999999993E-2</v>
      </c>
      <c r="R87" s="20">
        <f t="shared" si="9"/>
        <v>-4.1908366666666669E-2</v>
      </c>
      <c r="S87" s="20">
        <v>82</v>
      </c>
    </row>
    <row r="88" spans="1:19" x14ac:dyDescent="0.15">
      <c r="A88" s="79">
        <f>Q6_ii_RawData!A67</f>
        <v>45168</v>
      </c>
      <c r="B88" s="45">
        <f>$B$11*Q6_ii_RawData!B67+$B$12*Q6_ii_RawData!C67+$B$13*Q6_ii_RawData!D67+$B$14*Q6_ii_RawData!E67+$B$15*Q6_ii_RawData!F67+$B$16*Q6_ii_RawData!G67+$B$17*Q6_ii_RawData!H67+$B$18*Q6_ii_RawData!I67+$B$19*Q6_ii_RawData!J67+$B$20*Q6_ii_RawData!K67</f>
        <v>-7.3945999999999986E-3</v>
      </c>
      <c r="P88" s="20">
        <f t="shared" si="7"/>
        <v>-6.8257000000000005E-3</v>
      </c>
      <c r="Q88" s="20">
        <f t="shared" si="8"/>
        <v>-3.8743025999999993E-2</v>
      </c>
      <c r="R88" s="20">
        <f t="shared" si="9"/>
        <v>-4.1908366666666669E-2</v>
      </c>
      <c r="S88" s="20">
        <v>83</v>
      </c>
    </row>
    <row r="89" spans="1:19" x14ac:dyDescent="0.15">
      <c r="A89" s="79">
        <f>Q6_ii_RawData!A68</f>
        <v>45169</v>
      </c>
      <c r="B89" s="45">
        <f>$B$11*Q6_ii_RawData!B68+$B$12*Q6_ii_RawData!C68+$B$13*Q6_ii_RawData!D68+$B$14*Q6_ii_RawData!E68+$B$15*Q6_ii_RawData!F68+$B$16*Q6_ii_RawData!G68+$B$17*Q6_ii_RawData!H68+$B$18*Q6_ii_RawData!I68+$B$19*Q6_ii_RawData!J68+$B$20*Q6_ii_RawData!K68</f>
        <v>5.7112999999999999E-3</v>
      </c>
      <c r="P89" s="20">
        <f t="shared" si="7"/>
        <v>-6.7518000000000005E-3</v>
      </c>
      <c r="Q89" s="20">
        <f t="shared" si="8"/>
        <v>-3.8743025999999993E-2</v>
      </c>
      <c r="R89" s="20">
        <f t="shared" si="9"/>
        <v>-4.1908366666666669E-2</v>
      </c>
      <c r="S89" s="20">
        <v>84</v>
      </c>
    </row>
    <row r="90" spans="1:19" x14ac:dyDescent="0.15">
      <c r="A90" s="79">
        <f>Q6_ii_RawData!A69</f>
        <v>45170</v>
      </c>
      <c r="B90" s="45">
        <f>$B$11*Q6_ii_RawData!B69+$B$12*Q6_ii_RawData!C69+$B$13*Q6_ii_RawData!D69+$B$14*Q6_ii_RawData!E69+$B$15*Q6_ii_RawData!F69+$B$16*Q6_ii_RawData!G69+$B$17*Q6_ii_RawData!H69+$B$18*Q6_ii_RawData!I69+$B$19*Q6_ii_RawData!J69+$B$20*Q6_ii_RawData!K69</f>
        <v>-1.4762999999999998E-3</v>
      </c>
      <c r="P90" s="20">
        <f t="shared" si="7"/>
        <v>-6.5475000000000004E-3</v>
      </c>
      <c r="Q90" s="20">
        <f t="shared" si="8"/>
        <v>-3.8743025999999993E-2</v>
      </c>
      <c r="R90" s="20">
        <f t="shared" si="9"/>
        <v>-4.1908366666666669E-2</v>
      </c>
      <c r="S90" s="20">
        <v>85</v>
      </c>
    </row>
    <row r="91" spans="1:19" x14ac:dyDescent="0.15">
      <c r="A91" s="79">
        <f>Q6_ii_RawData!A70</f>
        <v>45174</v>
      </c>
      <c r="B91" s="45">
        <f>$B$11*Q6_ii_RawData!B70+$B$12*Q6_ii_RawData!C70+$B$13*Q6_ii_RawData!D70+$B$14*Q6_ii_RawData!E70+$B$15*Q6_ii_RawData!F70+$B$16*Q6_ii_RawData!G70+$B$17*Q6_ii_RawData!H70+$B$18*Q6_ii_RawData!I70+$B$19*Q6_ii_RawData!J70+$B$20*Q6_ii_RawData!K70</f>
        <v>-1.1622500000000001E-2</v>
      </c>
      <c r="P91" s="20">
        <f t="shared" si="7"/>
        <v>-6.4996999999999989E-3</v>
      </c>
      <c r="Q91" s="20">
        <f t="shared" si="8"/>
        <v>-3.8743025999999993E-2</v>
      </c>
      <c r="R91" s="20">
        <f t="shared" si="9"/>
        <v>-4.1908366666666669E-2</v>
      </c>
      <c r="S91" s="20">
        <v>86</v>
      </c>
    </row>
    <row r="92" spans="1:19" x14ac:dyDescent="0.15">
      <c r="A92" s="79">
        <f>Q6_ii_RawData!A71</f>
        <v>45175</v>
      </c>
      <c r="B92" s="45">
        <f>$B$11*Q6_ii_RawData!B71+$B$12*Q6_ii_RawData!C71+$B$13*Q6_ii_RawData!D71+$B$14*Q6_ii_RawData!E71+$B$15*Q6_ii_RawData!F71+$B$16*Q6_ii_RawData!G71+$B$17*Q6_ii_RawData!H71+$B$18*Q6_ii_RawData!I71+$B$19*Q6_ii_RawData!J71+$B$20*Q6_ii_RawData!K71</f>
        <v>-6.9956999999999997E-3</v>
      </c>
      <c r="P92" s="20">
        <f t="shared" si="7"/>
        <v>-6.11E-3</v>
      </c>
      <c r="Q92" s="20">
        <f t="shared" si="8"/>
        <v>-3.8743025999999993E-2</v>
      </c>
      <c r="R92" s="20">
        <f t="shared" si="9"/>
        <v>-4.1908366666666669E-2</v>
      </c>
      <c r="S92" s="20">
        <v>87</v>
      </c>
    </row>
    <row r="93" spans="1:19" x14ac:dyDescent="0.15">
      <c r="A93" s="79">
        <f>Q6_ii_RawData!A72</f>
        <v>45176</v>
      </c>
      <c r="B93" s="45">
        <f>$B$11*Q6_ii_RawData!B72+$B$12*Q6_ii_RawData!C72+$B$13*Q6_ii_RawData!D72+$B$14*Q6_ii_RawData!E72+$B$15*Q6_ii_RawData!F72+$B$16*Q6_ii_RawData!G72+$B$17*Q6_ii_RawData!H72+$B$18*Q6_ii_RawData!I72+$B$19*Q6_ii_RawData!J72+$B$20*Q6_ii_RawData!K72</f>
        <v>-1.7971400000000002E-2</v>
      </c>
      <c r="P93" s="20">
        <f t="shared" si="7"/>
        <v>-5.8100000000000009E-3</v>
      </c>
      <c r="Q93" s="20">
        <f t="shared" si="8"/>
        <v>-3.8743025999999993E-2</v>
      </c>
      <c r="R93" s="20">
        <f t="shared" si="9"/>
        <v>-4.1908366666666669E-2</v>
      </c>
      <c r="S93" s="20">
        <v>88</v>
      </c>
    </row>
    <row r="94" spans="1:19" x14ac:dyDescent="0.15">
      <c r="A94" s="79">
        <f>Q6_ii_RawData!A73</f>
        <v>45177</v>
      </c>
      <c r="B94" s="45">
        <f>$B$11*Q6_ii_RawData!B73+$B$12*Q6_ii_RawData!C73+$B$13*Q6_ii_RawData!D73+$B$14*Q6_ii_RawData!E73+$B$15*Q6_ii_RawData!F73+$B$16*Q6_ii_RawData!G73+$B$17*Q6_ii_RawData!H73+$B$18*Q6_ii_RawData!I73+$B$19*Q6_ii_RawData!J73+$B$20*Q6_ii_RawData!K73</f>
        <v>6.0950000000000034E-4</v>
      </c>
      <c r="P94" s="20">
        <f t="shared" si="7"/>
        <v>-5.6506000000000021E-3</v>
      </c>
      <c r="Q94" s="20">
        <f t="shared" si="8"/>
        <v>-3.8743025999999993E-2</v>
      </c>
      <c r="R94" s="20">
        <f t="shared" si="9"/>
        <v>-4.1908366666666669E-2</v>
      </c>
      <c r="S94" s="20">
        <v>89</v>
      </c>
    </row>
    <row r="95" spans="1:19" x14ac:dyDescent="0.15">
      <c r="A95" s="79">
        <f>Q6_ii_RawData!A74</f>
        <v>45180</v>
      </c>
      <c r="B95" s="45">
        <f>$B$11*Q6_ii_RawData!B74+$B$12*Q6_ii_RawData!C74+$B$13*Q6_ii_RawData!D74+$B$14*Q6_ii_RawData!E74+$B$15*Q6_ii_RawData!F74+$B$16*Q6_ii_RawData!G74+$B$17*Q6_ii_RawData!H74+$B$18*Q6_ii_RawData!I74+$B$19*Q6_ii_RawData!J74+$B$20*Q6_ii_RawData!K74</f>
        <v>8.8643999999999997E-3</v>
      </c>
      <c r="P95" s="20">
        <f t="shared" si="7"/>
        <v>-5.5767000000000004E-3</v>
      </c>
      <c r="Q95" s="20">
        <f t="shared" si="8"/>
        <v>-3.8743025999999993E-2</v>
      </c>
      <c r="R95" s="20">
        <f t="shared" si="9"/>
        <v>-4.1908366666666669E-2</v>
      </c>
      <c r="S95" s="20">
        <v>90</v>
      </c>
    </row>
    <row r="96" spans="1:19" x14ac:dyDescent="0.15">
      <c r="A96" s="79">
        <f>Q6_ii_RawData!A75</f>
        <v>45181</v>
      </c>
      <c r="B96" s="45">
        <f>$B$11*Q6_ii_RawData!B75+$B$12*Q6_ii_RawData!C75+$B$13*Q6_ii_RawData!D75+$B$14*Q6_ii_RawData!E75+$B$15*Q6_ii_RawData!F75+$B$16*Q6_ii_RawData!G75+$B$17*Q6_ii_RawData!H75+$B$18*Q6_ii_RawData!I75+$B$19*Q6_ii_RawData!J75+$B$20*Q6_ii_RawData!K75</f>
        <v>-2.6533300000000003E-2</v>
      </c>
      <c r="P96" s="20">
        <f t="shared" si="7"/>
        <v>-5.5299999999999993E-3</v>
      </c>
      <c r="Q96" s="20">
        <f t="shared" si="8"/>
        <v>-3.8743025999999993E-2</v>
      </c>
      <c r="R96" s="20">
        <f t="shared" si="9"/>
        <v>-4.1908366666666669E-2</v>
      </c>
      <c r="S96" s="20">
        <v>91</v>
      </c>
    </row>
    <row r="97" spans="1:19" x14ac:dyDescent="0.15">
      <c r="A97" s="79">
        <f>Q6_ii_RawData!A76</f>
        <v>45182</v>
      </c>
      <c r="B97" s="45">
        <f>$B$11*Q6_ii_RawData!B76+$B$12*Q6_ii_RawData!C76+$B$13*Q6_ii_RawData!D76+$B$14*Q6_ii_RawData!E76+$B$15*Q6_ii_RawData!F76+$B$16*Q6_ii_RawData!G76+$B$17*Q6_ii_RawData!H76+$B$18*Q6_ii_RawData!I76+$B$19*Q6_ii_RawData!J76+$B$20*Q6_ii_RawData!K76</f>
        <v>5.7355999999999987E-3</v>
      </c>
      <c r="P97" s="20">
        <f t="shared" si="7"/>
        <v>-5.1741999999999986E-3</v>
      </c>
      <c r="Q97" s="20">
        <f t="shared" si="8"/>
        <v>-3.8743025999999993E-2</v>
      </c>
      <c r="R97" s="20">
        <f t="shared" si="9"/>
        <v>-4.1908366666666669E-2</v>
      </c>
      <c r="S97" s="20">
        <v>92</v>
      </c>
    </row>
    <row r="98" spans="1:19" x14ac:dyDescent="0.15">
      <c r="A98" s="79">
        <f>Q6_ii_RawData!A77</f>
        <v>45183</v>
      </c>
      <c r="B98" s="45">
        <f>$B$11*Q6_ii_RawData!B77+$B$12*Q6_ii_RawData!C77+$B$13*Q6_ii_RawData!D77+$B$14*Q6_ii_RawData!E77+$B$15*Q6_ii_RawData!F77+$B$16*Q6_ii_RawData!G77+$B$17*Q6_ii_RawData!H77+$B$18*Q6_ii_RawData!I77+$B$19*Q6_ii_RawData!J77+$B$20*Q6_ii_RawData!K77</f>
        <v>-1.6776200000000002E-2</v>
      </c>
      <c r="P98" s="20">
        <f t="shared" si="7"/>
        <v>-4.9348999999999999E-3</v>
      </c>
      <c r="Q98" s="20">
        <f t="shared" si="8"/>
        <v>-3.8743025999999993E-2</v>
      </c>
      <c r="R98" s="20">
        <f t="shared" si="9"/>
        <v>-4.1908366666666669E-2</v>
      </c>
      <c r="S98" s="20">
        <v>93</v>
      </c>
    </row>
    <row r="99" spans="1:19" x14ac:dyDescent="0.15">
      <c r="A99" s="79">
        <f>Q6_ii_RawData!A78</f>
        <v>45184</v>
      </c>
      <c r="B99" s="45">
        <f>$B$11*Q6_ii_RawData!B78+$B$12*Q6_ii_RawData!C78+$B$13*Q6_ii_RawData!D78+$B$14*Q6_ii_RawData!E78+$B$15*Q6_ii_RawData!F78+$B$16*Q6_ii_RawData!G78+$B$17*Q6_ii_RawData!H78+$B$18*Q6_ii_RawData!I78+$B$19*Q6_ii_RawData!J78+$B$20*Q6_ii_RawData!K78</f>
        <v>-1.38718E-2</v>
      </c>
      <c r="P99" s="20">
        <f t="shared" si="7"/>
        <v>-4.4566999999999992E-3</v>
      </c>
      <c r="Q99" s="20">
        <f t="shared" si="8"/>
        <v>-3.8743025999999993E-2</v>
      </c>
      <c r="R99" s="20">
        <f t="shared" si="9"/>
        <v>-4.1908366666666669E-2</v>
      </c>
      <c r="S99" s="20">
        <v>94</v>
      </c>
    </row>
    <row r="100" spans="1:19" x14ac:dyDescent="0.15">
      <c r="A100" s="79">
        <f>Q6_ii_RawData!A79</f>
        <v>45187</v>
      </c>
      <c r="B100" s="45">
        <f>$B$11*Q6_ii_RawData!B79+$B$12*Q6_ii_RawData!C79+$B$13*Q6_ii_RawData!D79+$B$14*Q6_ii_RawData!E79+$B$15*Q6_ii_RawData!F79+$B$16*Q6_ii_RawData!G79+$B$17*Q6_ii_RawData!H79+$B$18*Q6_ii_RawData!I79+$B$19*Q6_ii_RawData!J79+$B$20*Q6_ii_RawData!K79</f>
        <v>-2.1829299999999999E-2</v>
      </c>
      <c r="P100" s="20">
        <f t="shared" si="7"/>
        <v>-4.0522000000000023E-3</v>
      </c>
      <c r="Q100" s="20">
        <f t="shared" si="8"/>
        <v>-3.8743025999999993E-2</v>
      </c>
      <c r="R100" s="20">
        <f t="shared" si="9"/>
        <v>-4.1908366666666669E-2</v>
      </c>
      <c r="S100" s="20">
        <v>95</v>
      </c>
    </row>
    <row r="101" spans="1:19" x14ac:dyDescent="0.15">
      <c r="A101" s="79">
        <f>Q6_ii_RawData!A80</f>
        <v>45188</v>
      </c>
      <c r="B101" s="45">
        <f>$B$11*Q6_ii_RawData!B80+$B$12*Q6_ii_RawData!C80+$B$13*Q6_ii_RawData!D80+$B$14*Q6_ii_RawData!E80+$B$15*Q6_ii_RawData!F80+$B$16*Q6_ii_RawData!G80+$B$17*Q6_ii_RawData!H80+$B$18*Q6_ii_RawData!I80+$B$19*Q6_ii_RawData!J80+$B$20*Q6_ii_RawData!K80</f>
        <v>-1.2152600000000001E-2</v>
      </c>
      <c r="P101" s="20">
        <f t="shared" si="7"/>
        <v>-4.0340000000000003E-3</v>
      </c>
      <c r="Q101" s="20">
        <f t="shared" si="8"/>
        <v>-3.8743025999999993E-2</v>
      </c>
      <c r="R101" s="20">
        <f t="shared" si="9"/>
        <v>-4.1908366666666669E-2</v>
      </c>
      <c r="S101" s="20">
        <v>96</v>
      </c>
    </row>
    <row r="102" spans="1:19" x14ac:dyDescent="0.15">
      <c r="A102" s="79">
        <f>Q6_ii_RawData!A81</f>
        <v>45189</v>
      </c>
      <c r="B102" s="45">
        <f>$B$11*Q6_ii_RawData!B81+$B$12*Q6_ii_RawData!C81+$B$13*Q6_ii_RawData!D81+$B$14*Q6_ii_RawData!E81+$B$15*Q6_ii_RawData!F81+$B$16*Q6_ii_RawData!G81+$B$17*Q6_ii_RawData!H81+$B$18*Q6_ii_RawData!I81+$B$19*Q6_ii_RawData!J81+$B$20*Q6_ii_RawData!K81</f>
        <v>-2.8658800000000009E-2</v>
      </c>
      <c r="P102" s="20">
        <f t="shared" si="7"/>
        <v>-3.8772000000000004E-3</v>
      </c>
      <c r="Q102" s="20">
        <f t="shared" si="8"/>
        <v>-3.8743025999999993E-2</v>
      </c>
      <c r="R102" s="20">
        <f t="shared" si="9"/>
        <v>-4.1908366666666669E-2</v>
      </c>
      <c r="S102" s="20">
        <v>97</v>
      </c>
    </row>
    <row r="103" spans="1:19" x14ac:dyDescent="0.15">
      <c r="A103" s="79">
        <f>Q6_ii_RawData!A82</f>
        <v>45190</v>
      </c>
      <c r="B103" s="45">
        <f>$B$11*Q6_ii_RawData!B82+$B$12*Q6_ii_RawData!C82+$B$13*Q6_ii_RawData!D82+$B$14*Q6_ii_RawData!E82+$B$15*Q6_ii_RawData!F82+$B$16*Q6_ii_RawData!G82+$B$17*Q6_ii_RawData!H82+$B$18*Q6_ii_RawData!I82+$B$19*Q6_ii_RawData!J82+$B$20*Q6_ii_RawData!K82</f>
        <v>-4.0340000000000003E-3</v>
      </c>
      <c r="P103" s="20">
        <f t="shared" si="7"/>
        <v>-3.7274999999999986E-3</v>
      </c>
      <c r="Q103" s="20">
        <f t="shared" si="8"/>
        <v>-3.8743025999999993E-2</v>
      </c>
      <c r="R103" s="20">
        <f t="shared" si="9"/>
        <v>-4.1908366666666669E-2</v>
      </c>
      <c r="S103" s="20">
        <v>98</v>
      </c>
    </row>
    <row r="104" spans="1:19" x14ac:dyDescent="0.15">
      <c r="A104" s="79">
        <f>Q6_ii_RawData!A83</f>
        <v>45191</v>
      </c>
      <c r="B104" s="45">
        <f>$B$11*Q6_ii_RawData!B83+$B$12*Q6_ii_RawData!C83+$B$13*Q6_ii_RawData!D83+$B$14*Q6_ii_RawData!E83+$B$15*Q6_ii_RawData!F83+$B$16*Q6_ii_RawData!G83+$B$17*Q6_ii_RawData!H83+$B$18*Q6_ii_RawData!I83+$B$19*Q6_ii_RawData!J83+$B$20*Q6_ii_RawData!K83</f>
        <v>-5.4890000000000017E-4</v>
      </c>
      <c r="P104" s="20">
        <f t="shared" si="7"/>
        <v>-3.6926000000000003E-3</v>
      </c>
      <c r="Q104" s="20">
        <f t="shared" si="8"/>
        <v>-3.8743025999999993E-2</v>
      </c>
      <c r="R104" s="20">
        <f t="shared" si="9"/>
        <v>-4.1908366666666669E-2</v>
      </c>
      <c r="S104" s="20">
        <v>99</v>
      </c>
    </row>
    <row r="105" spans="1:19" x14ac:dyDescent="0.15">
      <c r="A105" s="79">
        <f>Q6_ii_RawData!A84</f>
        <v>45194</v>
      </c>
      <c r="B105" s="45">
        <f>$B$11*Q6_ii_RawData!B84+$B$12*Q6_ii_RawData!C84+$B$13*Q6_ii_RawData!D84+$B$14*Q6_ii_RawData!E84+$B$15*Q6_ii_RawData!F84+$B$16*Q6_ii_RawData!G84+$B$17*Q6_ii_RawData!H84+$B$18*Q6_ii_RawData!I84+$B$19*Q6_ii_RawData!J84+$B$20*Q6_ii_RawData!K84</f>
        <v>-1.8476000000000003E-2</v>
      </c>
      <c r="P105" s="20">
        <f t="shared" si="7"/>
        <v>-3.3379000000000004E-3</v>
      </c>
      <c r="Q105" s="20">
        <f t="shared" si="8"/>
        <v>-3.8743025999999993E-2</v>
      </c>
      <c r="R105" s="20">
        <f t="shared" si="9"/>
        <v>-4.1908366666666669E-2</v>
      </c>
      <c r="S105" s="20">
        <v>100</v>
      </c>
    </row>
    <row r="106" spans="1:19" x14ac:dyDescent="0.15">
      <c r="A106" s="79">
        <f>Q6_ii_RawData!A85</f>
        <v>45195</v>
      </c>
      <c r="B106" s="45">
        <f>$B$11*Q6_ii_RawData!B85+$B$12*Q6_ii_RawData!C85+$B$13*Q6_ii_RawData!D85+$B$14*Q6_ii_RawData!E85+$B$15*Q6_ii_RawData!F85+$B$16*Q6_ii_RawData!G85+$B$17*Q6_ii_RawData!H85+$B$18*Q6_ii_RawData!I85+$B$19*Q6_ii_RawData!J85+$B$20*Q6_ii_RawData!K85</f>
        <v>3.0953999999999999E-3</v>
      </c>
      <c r="P106" s="20">
        <f t="shared" si="7"/>
        <v>-3.3111000000000004E-3</v>
      </c>
      <c r="Q106" s="20">
        <f t="shared" si="8"/>
        <v>-3.8743025999999993E-2</v>
      </c>
      <c r="R106" s="20">
        <f t="shared" si="9"/>
        <v>-4.1908366666666669E-2</v>
      </c>
      <c r="S106" s="20">
        <v>101</v>
      </c>
    </row>
    <row r="107" spans="1:19" x14ac:dyDescent="0.15">
      <c r="A107" s="79">
        <f>Q6_ii_RawData!A86</f>
        <v>45196</v>
      </c>
      <c r="B107" s="45">
        <f>$B$11*Q6_ii_RawData!B86+$B$12*Q6_ii_RawData!C86+$B$13*Q6_ii_RawData!D86+$B$14*Q6_ii_RawData!E86+$B$15*Q6_ii_RawData!F86+$B$16*Q6_ii_RawData!G86+$B$17*Q6_ii_RawData!H86+$B$18*Q6_ii_RawData!I86+$B$19*Q6_ii_RawData!J86+$B$20*Q6_ii_RawData!K86</f>
        <v>1.6501500000000002E-2</v>
      </c>
      <c r="P107" s="20">
        <f t="shared" si="7"/>
        <v>-3.3049000000000004E-3</v>
      </c>
      <c r="Q107" s="20">
        <f t="shared" si="8"/>
        <v>-3.8743025999999993E-2</v>
      </c>
      <c r="R107" s="20">
        <f t="shared" si="9"/>
        <v>-4.1908366666666669E-2</v>
      </c>
      <c r="S107" s="20">
        <v>102</v>
      </c>
    </row>
    <row r="108" spans="1:19" x14ac:dyDescent="0.15">
      <c r="A108" s="79">
        <f>Q6_ii_RawData!A87</f>
        <v>45197</v>
      </c>
      <c r="B108" s="45">
        <f>$B$11*Q6_ii_RawData!B87+$B$12*Q6_ii_RawData!C87+$B$13*Q6_ii_RawData!D87+$B$14*Q6_ii_RawData!E87+$B$15*Q6_ii_RawData!F87+$B$16*Q6_ii_RawData!G87+$B$17*Q6_ii_RawData!H87+$B$18*Q6_ii_RawData!I87+$B$19*Q6_ii_RawData!J87+$B$20*Q6_ii_RawData!K87</f>
        <v>1.8985999999999999E-3</v>
      </c>
      <c r="P108" s="20">
        <f t="shared" si="7"/>
        <v>-2.5433000000000001E-3</v>
      </c>
      <c r="Q108" s="20">
        <f t="shared" si="8"/>
        <v>-3.8743025999999993E-2</v>
      </c>
      <c r="R108" s="20">
        <f t="shared" si="9"/>
        <v>-4.1908366666666669E-2</v>
      </c>
      <c r="S108" s="20">
        <v>103</v>
      </c>
    </row>
    <row r="109" spans="1:19" x14ac:dyDescent="0.15">
      <c r="A109" s="79">
        <f>Q6_ii_RawData!A88</f>
        <v>45198</v>
      </c>
      <c r="B109" s="45">
        <f>$B$11*Q6_ii_RawData!B88+$B$12*Q6_ii_RawData!C88+$B$13*Q6_ii_RawData!D88+$B$14*Q6_ii_RawData!E88+$B$15*Q6_ii_RawData!F88+$B$16*Q6_ii_RawData!G88+$B$17*Q6_ii_RawData!H88+$B$18*Q6_ii_RawData!I88+$B$19*Q6_ii_RawData!J88+$B$20*Q6_ii_RawData!K88</f>
        <v>-6.8968999999999992E-3</v>
      </c>
      <c r="P109" s="20">
        <f t="shared" si="7"/>
        <v>-2.3577000000000003E-3</v>
      </c>
      <c r="Q109" s="20">
        <f t="shared" si="8"/>
        <v>-3.8743025999999993E-2</v>
      </c>
      <c r="R109" s="20">
        <f t="shared" si="9"/>
        <v>-4.1908366666666669E-2</v>
      </c>
      <c r="S109" s="20">
        <v>104</v>
      </c>
    </row>
    <row r="110" spans="1:19" x14ac:dyDescent="0.15">
      <c r="A110" s="79">
        <f>Q6_ii_RawData!A89</f>
        <v>45201</v>
      </c>
      <c r="B110" s="45">
        <f>$B$11*Q6_ii_RawData!B89+$B$12*Q6_ii_RawData!C89+$B$13*Q6_ii_RawData!D89+$B$14*Q6_ii_RawData!E89+$B$15*Q6_ii_RawData!F89+$B$16*Q6_ii_RawData!G89+$B$17*Q6_ii_RawData!H89+$B$18*Q6_ii_RawData!I89+$B$19*Q6_ii_RawData!J89+$B$20*Q6_ii_RawData!K89</f>
        <v>-4.1413700000000005E-2</v>
      </c>
      <c r="P110" s="20">
        <f t="shared" si="7"/>
        <v>-2.3238999999999998E-3</v>
      </c>
      <c r="Q110" s="20">
        <f t="shared" si="8"/>
        <v>-3.8743025999999993E-2</v>
      </c>
      <c r="R110" s="20">
        <f t="shared" si="9"/>
        <v>-4.1908366666666669E-2</v>
      </c>
      <c r="S110" s="20">
        <v>105</v>
      </c>
    </row>
    <row r="111" spans="1:19" x14ac:dyDescent="0.15">
      <c r="A111" s="79">
        <f>Q6_ii_RawData!A90</f>
        <v>45202</v>
      </c>
      <c r="B111" s="45">
        <f>$B$11*Q6_ii_RawData!B90+$B$12*Q6_ii_RawData!C90+$B$13*Q6_ii_RawData!D90+$B$14*Q6_ii_RawData!E90+$B$15*Q6_ii_RawData!F90+$B$16*Q6_ii_RawData!G90+$B$17*Q6_ii_RawData!H90+$B$18*Q6_ii_RawData!I90+$B$19*Q6_ii_RawData!J90+$B$20*Q6_ii_RawData!K90</f>
        <v>7.9420000000000011E-3</v>
      </c>
      <c r="P111" s="20">
        <f t="shared" si="7"/>
        <v>-2.0291000000000011E-3</v>
      </c>
      <c r="Q111" s="20">
        <f t="shared" si="8"/>
        <v>-3.8743025999999993E-2</v>
      </c>
      <c r="R111" s="20">
        <f t="shared" si="9"/>
        <v>-4.1908366666666669E-2</v>
      </c>
      <c r="S111" s="20">
        <v>106</v>
      </c>
    </row>
    <row r="112" spans="1:19" x14ac:dyDescent="0.15">
      <c r="A112" s="79">
        <f>Q6_ii_RawData!A91</f>
        <v>45203</v>
      </c>
      <c r="B112" s="45">
        <f>$B$11*Q6_ii_RawData!B91+$B$12*Q6_ii_RawData!C91+$B$13*Q6_ii_RawData!D91+$B$14*Q6_ii_RawData!E91+$B$15*Q6_ii_RawData!F91+$B$16*Q6_ii_RawData!G91+$B$17*Q6_ii_RawData!H91+$B$18*Q6_ii_RawData!I91+$B$19*Q6_ii_RawData!J91+$B$20*Q6_ii_RawData!K91</f>
        <v>-3.8772000000000004E-3</v>
      </c>
      <c r="P112" s="20">
        <f t="shared" si="7"/>
        <v>-1.9860000000000012E-3</v>
      </c>
      <c r="Q112" s="20">
        <f t="shared" si="8"/>
        <v>-3.8743025999999993E-2</v>
      </c>
      <c r="R112" s="20">
        <f t="shared" si="9"/>
        <v>-4.1908366666666669E-2</v>
      </c>
      <c r="S112" s="20">
        <v>107</v>
      </c>
    </row>
    <row r="113" spans="1:19" x14ac:dyDescent="0.15">
      <c r="A113" s="79">
        <f>Q6_ii_RawData!A92</f>
        <v>45204</v>
      </c>
      <c r="B113" s="45">
        <f>$B$11*Q6_ii_RawData!B92+$B$12*Q6_ii_RawData!C92+$B$13*Q6_ii_RawData!D92+$B$14*Q6_ii_RawData!E92+$B$15*Q6_ii_RawData!F92+$B$16*Q6_ii_RawData!G92+$B$17*Q6_ii_RawData!H92+$B$18*Q6_ii_RawData!I92+$B$19*Q6_ii_RawData!J92+$B$20*Q6_ii_RawData!K92</f>
        <v>1.9572400000000004E-2</v>
      </c>
      <c r="P113" s="20">
        <f t="shared" si="7"/>
        <v>-1.6433000000000005E-3</v>
      </c>
      <c r="Q113" s="20">
        <f t="shared" si="8"/>
        <v>-3.8743025999999993E-2</v>
      </c>
      <c r="R113" s="20">
        <f t="shared" si="9"/>
        <v>-4.1908366666666669E-2</v>
      </c>
      <c r="S113" s="20">
        <v>108</v>
      </c>
    </row>
    <row r="114" spans="1:19" x14ac:dyDescent="0.15">
      <c r="A114" s="79">
        <f>Q6_ii_RawData!A93</f>
        <v>45205</v>
      </c>
      <c r="B114" s="45">
        <f>$B$11*Q6_ii_RawData!B93+$B$12*Q6_ii_RawData!C93+$B$13*Q6_ii_RawData!D93+$B$14*Q6_ii_RawData!E93+$B$15*Q6_ii_RawData!F93+$B$16*Q6_ii_RawData!G93+$B$17*Q6_ii_RawData!H93+$B$18*Q6_ii_RawData!I93+$B$19*Q6_ii_RawData!J93+$B$20*Q6_ii_RawData!K93</f>
        <v>-5.1741999999999986E-3</v>
      </c>
      <c r="P114" s="20">
        <f t="shared" si="7"/>
        <v>-1.6111999999999986E-3</v>
      </c>
      <c r="Q114" s="20">
        <f t="shared" si="8"/>
        <v>-3.8743025999999993E-2</v>
      </c>
      <c r="R114" s="20">
        <f t="shared" si="9"/>
        <v>-4.1908366666666669E-2</v>
      </c>
      <c r="S114" s="20">
        <v>109</v>
      </c>
    </row>
    <row r="115" spans="1:19" x14ac:dyDescent="0.15">
      <c r="A115" s="79">
        <f>Q6_ii_RawData!A94</f>
        <v>45208</v>
      </c>
      <c r="B115" s="45">
        <f>$B$11*Q6_ii_RawData!B94+$B$12*Q6_ii_RawData!C94+$B$13*Q6_ii_RawData!D94+$B$14*Q6_ii_RawData!E94+$B$15*Q6_ii_RawData!F94+$B$16*Q6_ii_RawData!G94+$B$17*Q6_ii_RawData!H94+$B$18*Q6_ii_RawData!I94+$B$19*Q6_ii_RawData!J94+$B$20*Q6_ii_RawData!K94</f>
        <v>1.19113E-2</v>
      </c>
      <c r="P115" s="20">
        <f t="shared" si="7"/>
        <v>-1.4762999999999998E-3</v>
      </c>
      <c r="Q115" s="20">
        <f t="shared" si="8"/>
        <v>-3.8743025999999993E-2</v>
      </c>
      <c r="R115" s="20">
        <f t="shared" si="9"/>
        <v>-4.1908366666666669E-2</v>
      </c>
      <c r="S115" s="20">
        <v>110</v>
      </c>
    </row>
    <row r="116" spans="1:19" x14ac:dyDescent="0.15">
      <c r="A116" s="79">
        <f>Q6_ii_RawData!A95</f>
        <v>45209</v>
      </c>
      <c r="B116" s="45">
        <f>$B$11*Q6_ii_RawData!B95+$B$12*Q6_ii_RawData!C95+$B$13*Q6_ii_RawData!D95+$B$14*Q6_ii_RawData!E95+$B$15*Q6_ii_RawData!F95+$B$16*Q6_ii_RawData!G95+$B$17*Q6_ii_RawData!H95+$B$18*Q6_ii_RawData!I95+$B$19*Q6_ii_RawData!J95+$B$20*Q6_ii_RawData!K95</f>
        <v>-1.6433000000000005E-3</v>
      </c>
      <c r="P116" s="20">
        <f t="shared" si="7"/>
        <v>-1.2153000000000003E-3</v>
      </c>
      <c r="Q116" s="20">
        <f t="shared" si="8"/>
        <v>-3.8743025999999993E-2</v>
      </c>
      <c r="R116" s="20">
        <f t="shared" si="9"/>
        <v>-4.1908366666666669E-2</v>
      </c>
      <c r="S116" s="20">
        <v>111</v>
      </c>
    </row>
    <row r="117" spans="1:19" x14ac:dyDescent="0.15">
      <c r="A117" s="79">
        <f>Q6_ii_RawData!A96</f>
        <v>45210</v>
      </c>
      <c r="B117" s="45">
        <f>$B$11*Q6_ii_RawData!B96+$B$12*Q6_ii_RawData!C96+$B$13*Q6_ii_RawData!D96+$B$14*Q6_ii_RawData!E96+$B$15*Q6_ii_RawData!F96+$B$16*Q6_ii_RawData!G96+$B$17*Q6_ii_RawData!H96+$B$18*Q6_ii_RawData!I96+$B$19*Q6_ii_RawData!J96+$B$20*Q6_ii_RawData!K96</f>
        <v>-1.57501E-2</v>
      </c>
      <c r="P117" s="20">
        <f t="shared" si="7"/>
        <v>-5.4890000000000017E-4</v>
      </c>
      <c r="Q117" s="20">
        <f t="shared" si="8"/>
        <v>-3.8743025999999993E-2</v>
      </c>
      <c r="R117" s="20">
        <f t="shared" si="9"/>
        <v>-4.1908366666666669E-2</v>
      </c>
      <c r="S117" s="20">
        <v>112</v>
      </c>
    </row>
    <row r="118" spans="1:19" x14ac:dyDescent="0.15">
      <c r="A118" s="79">
        <f>Q6_ii_RawData!A97</f>
        <v>45211</v>
      </c>
      <c r="B118" s="45">
        <f>$B$11*Q6_ii_RawData!B97+$B$12*Q6_ii_RawData!C97+$B$13*Q6_ii_RawData!D97+$B$14*Q6_ii_RawData!E97+$B$15*Q6_ii_RawData!F97+$B$16*Q6_ii_RawData!G97+$B$17*Q6_ii_RawData!H97+$B$18*Q6_ii_RawData!I97+$B$19*Q6_ii_RawData!J97+$B$20*Q6_ii_RawData!K97</f>
        <v>-1.82446E-2</v>
      </c>
      <c r="P118" s="20">
        <f t="shared" si="7"/>
        <v>-4.8339999999999972E-4</v>
      </c>
      <c r="Q118" s="20">
        <f t="shared" si="8"/>
        <v>-3.8743025999999993E-2</v>
      </c>
      <c r="R118" s="20">
        <f t="shared" si="9"/>
        <v>-4.1908366666666669E-2</v>
      </c>
      <c r="S118" s="20">
        <v>113</v>
      </c>
    </row>
    <row r="119" spans="1:19" x14ac:dyDescent="0.15">
      <c r="A119" s="79">
        <f>Q6_ii_RawData!A98</f>
        <v>45212</v>
      </c>
      <c r="B119" s="45">
        <f>$B$11*Q6_ii_RawData!B98+$B$12*Q6_ii_RawData!C98+$B$13*Q6_ii_RawData!D98+$B$14*Q6_ii_RawData!E98+$B$15*Q6_ii_RawData!F98+$B$16*Q6_ii_RawData!G98+$B$17*Q6_ii_RawData!H98+$B$18*Q6_ii_RawData!I98+$B$19*Q6_ii_RawData!J98+$B$20*Q6_ii_RawData!K98</f>
        <v>2.3718900000000001E-2</v>
      </c>
      <c r="P119" s="20">
        <f t="shared" si="7"/>
        <v>-4.5160000000000024E-4</v>
      </c>
      <c r="Q119" s="20">
        <f t="shared" si="8"/>
        <v>-3.8743025999999993E-2</v>
      </c>
      <c r="R119" s="20">
        <f t="shared" si="9"/>
        <v>-4.1908366666666669E-2</v>
      </c>
      <c r="S119" s="20">
        <v>114</v>
      </c>
    </row>
    <row r="120" spans="1:19" x14ac:dyDescent="0.15">
      <c r="A120" s="79">
        <f>Q6_ii_RawData!A99</f>
        <v>45215</v>
      </c>
      <c r="B120" s="45">
        <f>$B$11*Q6_ii_RawData!B99+$B$12*Q6_ii_RawData!C99+$B$13*Q6_ii_RawData!D99+$B$14*Q6_ii_RawData!E99+$B$15*Q6_ii_RawData!F99+$B$16*Q6_ii_RawData!G99+$B$17*Q6_ii_RawData!H99+$B$18*Q6_ii_RawData!I99+$B$19*Q6_ii_RawData!J99+$B$20*Q6_ii_RawData!K99</f>
        <v>-1.9860000000000012E-3</v>
      </c>
      <c r="P120" s="20">
        <f t="shared" si="7"/>
        <v>-3.0240000000000041E-4</v>
      </c>
      <c r="Q120" s="20">
        <f t="shared" si="8"/>
        <v>-3.8743025999999993E-2</v>
      </c>
      <c r="R120" s="20">
        <f t="shared" si="9"/>
        <v>-4.1908366666666669E-2</v>
      </c>
      <c r="S120" s="20">
        <v>115</v>
      </c>
    </row>
    <row r="121" spans="1:19" x14ac:dyDescent="0.15">
      <c r="A121" s="79">
        <f>Q6_ii_RawData!A100</f>
        <v>45216</v>
      </c>
      <c r="B121" s="45">
        <f>$B$11*Q6_ii_RawData!B100+$B$12*Q6_ii_RawData!C100+$B$13*Q6_ii_RawData!D100+$B$14*Q6_ii_RawData!E100+$B$15*Q6_ii_RawData!F100+$B$16*Q6_ii_RawData!G100+$B$17*Q6_ii_RawData!H100+$B$18*Q6_ii_RawData!I100+$B$19*Q6_ii_RawData!J100+$B$20*Q6_ii_RawData!K100</f>
        <v>-4.4077500000000006E-2</v>
      </c>
      <c r="P121" s="20">
        <f t="shared" si="7"/>
        <v>-2.2259999999999869E-4</v>
      </c>
      <c r="Q121" s="20">
        <f t="shared" si="8"/>
        <v>-3.8743025999999993E-2</v>
      </c>
      <c r="R121" s="20">
        <f t="shared" si="9"/>
        <v>-4.1908366666666669E-2</v>
      </c>
      <c r="S121" s="20">
        <v>116</v>
      </c>
    </row>
    <row r="122" spans="1:19" x14ac:dyDescent="0.15">
      <c r="A122" s="79">
        <f>Q6_ii_RawData!A101</f>
        <v>45217</v>
      </c>
      <c r="B122" s="45">
        <f>$B$11*Q6_ii_RawData!B101+$B$12*Q6_ii_RawData!C101+$B$13*Q6_ii_RawData!D101+$B$14*Q6_ii_RawData!E101+$B$15*Q6_ii_RawData!F101+$B$16*Q6_ii_RawData!G101+$B$17*Q6_ii_RawData!H101+$B$18*Q6_ii_RawData!I101+$B$19*Q6_ii_RawData!J101+$B$20*Q6_ii_RawData!K101</f>
        <v>4.2276999999999983E-3</v>
      </c>
      <c r="P122" s="20">
        <f t="shared" si="7"/>
        <v>-1.5259999999999991E-4</v>
      </c>
      <c r="Q122" s="20">
        <f t="shared" si="8"/>
        <v>-3.8743025999999993E-2</v>
      </c>
      <c r="R122" s="20">
        <f t="shared" si="9"/>
        <v>-4.1908366666666669E-2</v>
      </c>
      <c r="S122" s="20">
        <v>117</v>
      </c>
    </row>
    <row r="123" spans="1:19" x14ac:dyDescent="0.15">
      <c r="A123" s="79">
        <f>Q6_ii_RawData!A102</f>
        <v>45218</v>
      </c>
      <c r="B123" s="45">
        <f>$B$11*Q6_ii_RawData!B102+$B$12*Q6_ii_RawData!C102+$B$13*Q6_ii_RawData!D102+$B$14*Q6_ii_RawData!E102+$B$15*Q6_ii_RawData!F102+$B$16*Q6_ii_RawData!G102+$B$17*Q6_ii_RawData!H102+$B$18*Q6_ii_RawData!I102+$B$19*Q6_ii_RawData!J102+$B$20*Q6_ii_RawData!K102</f>
        <v>-1.5939200000000001E-2</v>
      </c>
      <c r="P123" s="20">
        <f t="shared" si="7"/>
        <v>-9.8400000000000657E-5</v>
      </c>
      <c r="Q123" s="20">
        <f t="shared" si="8"/>
        <v>-3.8743025999999993E-2</v>
      </c>
      <c r="R123" s="20">
        <f t="shared" si="9"/>
        <v>-4.1908366666666669E-2</v>
      </c>
      <c r="S123" s="20">
        <v>118</v>
      </c>
    </row>
    <row r="124" spans="1:19" x14ac:dyDescent="0.15">
      <c r="A124" s="79">
        <f>Q6_ii_RawData!A103</f>
        <v>45219</v>
      </c>
      <c r="B124" s="45">
        <f>$B$11*Q6_ii_RawData!B103+$B$12*Q6_ii_RawData!C103+$B$13*Q6_ii_RawData!D103+$B$14*Q6_ii_RawData!E103+$B$15*Q6_ii_RawData!F103+$B$16*Q6_ii_RawData!G103+$B$17*Q6_ii_RawData!H103+$B$18*Q6_ii_RawData!I103+$B$19*Q6_ii_RawData!J103+$B$20*Q6_ii_RawData!K103</f>
        <v>1.86301E-2</v>
      </c>
      <c r="P124" s="20">
        <f t="shared" si="7"/>
        <v>-6.7700000000000263E-5</v>
      </c>
      <c r="Q124" s="20">
        <f t="shared" si="8"/>
        <v>-3.8743025999999993E-2</v>
      </c>
      <c r="R124" s="20">
        <f t="shared" si="9"/>
        <v>-4.1908366666666669E-2</v>
      </c>
      <c r="S124" s="20">
        <v>119</v>
      </c>
    </row>
    <row r="125" spans="1:19" x14ac:dyDescent="0.15">
      <c r="A125" s="79">
        <f>Q6_ii_RawData!A104</f>
        <v>45222</v>
      </c>
      <c r="B125" s="45">
        <f>$B$11*Q6_ii_RawData!B104+$B$12*Q6_ii_RawData!C104+$B$13*Q6_ii_RawData!D104+$B$14*Q6_ii_RawData!E104+$B$15*Q6_ii_RawData!F104+$B$16*Q6_ii_RawData!G104+$B$17*Q6_ii_RawData!H104+$B$18*Q6_ii_RawData!I104+$B$19*Q6_ii_RawData!J104+$B$20*Q6_ii_RawData!K104</f>
        <v>2.9842900000000006E-2</v>
      </c>
      <c r="P125" s="20">
        <f t="shared" si="7"/>
        <v>0</v>
      </c>
      <c r="Q125" s="20">
        <f t="shared" si="8"/>
        <v>-3.8743025999999993E-2</v>
      </c>
      <c r="R125" s="20">
        <f t="shared" si="9"/>
        <v>-4.1908366666666669E-2</v>
      </c>
      <c r="S125" s="20">
        <v>120</v>
      </c>
    </row>
    <row r="126" spans="1:19" x14ac:dyDescent="0.15">
      <c r="A126" s="79">
        <f>Q6_ii_RawData!A105</f>
        <v>45223</v>
      </c>
      <c r="B126" s="45">
        <f>$B$11*Q6_ii_RawData!B105+$B$12*Q6_ii_RawData!C105+$B$13*Q6_ii_RawData!D105+$B$14*Q6_ii_RawData!E105+$B$15*Q6_ii_RawData!F105+$B$16*Q6_ii_RawData!G105+$B$17*Q6_ii_RawData!H105+$B$18*Q6_ii_RawData!I105+$B$19*Q6_ii_RawData!J105+$B$20*Q6_ii_RawData!K105</f>
        <v>-3.6201499999999998E-2</v>
      </c>
      <c r="P126" s="20">
        <f t="shared" si="7"/>
        <v>1.1259999999999916E-4</v>
      </c>
      <c r="Q126" s="20">
        <f t="shared" si="8"/>
        <v>-3.8743025999999993E-2</v>
      </c>
      <c r="R126" s="20">
        <f t="shared" si="9"/>
        <v>-4.1908366666666669E-2</v>
      </c>
      <c r="S126" s="20">
        <v>121</v>
      </c>
    </row>
    <row r="127" spans="1:19" x14ac:dyDescent="0.15">
      <c r="A127" s="79">
        <f>Q6_ii_RawData!A106</f>
        <v>45224</v>
      </c>
      <c r="B127" s="45">
        <f>$B$11*Q6_ii_RawData!B106+$B$12*Q6_ii_RawData!C106+$B$13*Q6_ii_RawData!D106+$B$14*Q6_ii_RawData!E106+$B$15*Q6_ii_RawData!F106+$B$16*Q6_ii_RawData!G106+$B$17*Q6_ii_RawData!H106+$B$18*Q6_ii_RawData!I106+$B$19*Q6_ii_RawData!J106+$B$20*Q6_ii_RawData!K106</f>
        <v>-1.0586500000000002E-2</v>
      </c>
      <c r="P127" s="20">
        <f t="shared" si="7"/>
        <v>6.0950000000000034E-4</v>
      </c>
      <c r="Q127" s="20">
        <f t="shared" si="8"/>
        <v>-3.8743025999999993E-2</v>
      </c>
      <c r="R127" s="20">
        <f t="shared" si="9"/>
        <v>-4.1908366666666669E-2</v>
      </c>
      <c r="S127" s="20">
        <v>122</v>
      </c>
    </row>
    <row r="128" spans="1:19" x14ac:dyDescent="0.15">
      <c r="A128" s="79">
        <f>Q6_ii_RawData!A107</f>
        <v>45225</v>
      </c>
      <c r="B128" s="45">
        <f>$B$11*Q6_ii_RawData!B107+$B$12*Q6_ii_RawData!C107+$B$13*Q6_ii_RawData!D107+$B$14*Q6_ii_RawData!E107+$B$15*Q6_ii_RawData!F107+$B$16*Q6_ii_RawData!G107+$B$17*Q6_ii_RawData!H107+$B$18*Q6_ii_RawData!I107+$B$19*Q6_ii_RawData!J107+$B$20*Q6_ii_RawData!K107</f>
        <v>-3.6926000000000003E-3</v>
      </c>
      <c r="P128" s="20">
        <f t="shared" si="7"/>
        <v>7.9719999999999986E-4</v>
      </c>
      <c r="Q128" s="20">
        <f t="shared" si="8"/>
        <v>-3.8743025999999993E-2</v>
      </c>
      <c r="R128" s="20">
        <f t="shared" si="9"/>
        <v>-4.1908366666666669E-2</v>
      </c>
      <c r="S128" s="20">
        <v>123</v>
      </c>
    </row>
    <row r="129" spans="1:19" x14ac:dyDescent="0.15">
      <c r="A129" s="79">
        <f>Q6_ii_RawData!A108</f>
        <v>45226</v>
      </c>
      <c r="B129" s="45">
        <f>$B$11*Q6_ii_RawData!B108+$B$12*Q6_ii_RawData!C108+$B$13*Q6_ii_RawData!D108+$B$14*Q6_ii_RawData!E108+$B$15*Q6_ii_RawData!F108+$B$16*Q6_ii_RawData!G108+$B$17*Q6_ii_RawData!H108+$B$18*Q6_ii_RawData!I108+$B$19*Q6_ii_RawData!J108+$B$20*Q6_ii_RawData!K108</f>
        <v>1.6640599999999998E-2</v>
      </c>
      <c r="P129" s="20">
        <f t="shared" si="7"/>
        <v>8.9220000000000022E-4</v>
      </c>
      <c r="Q129" s="20">
        <f t="shared" si="8"/>
        <v>-3.8743025999999993E-2</v>
      </c>
      <c r="R129" s="20">
        <f t="shared" si="9"/>
        <v>-4.1908366666666669E-2</v>
      </c>
      <c r="S129" s="20">
        <v>124</v>
      </c>
    </row>
    <row r="130" spans="1:19" x14ac:dyDescent="0.15">
      <c r="A130" s="79">
        <f>Q6_ii_RawData!A109</f>
        <v>45229</v>
      </c>
      <c r="B130" s="45">
        <f>$B$11*Q6_ii_RawData!B109+$B$12*Q6_ii_RawData!C109+$B$13*Q6_ii_RawData!D109+$B$14*Q6_ii_RawData!E109+$B$15*Q6_ii_RawData!F109+$B$16*Q6_ii_RawData!G109+$B$17*Q6_ii_RawData!H109+$B$18*Q6_ii_RawData!I109+$B$19*Q6_ii_RawData!J109+$B$20*Q6_ii_RawData!K109</f>
        <v>1.6027000000000003E-3</v>
      </c>
      <c r="P130" s="20">
        <f t="shared" si="7"/>
        <v>1.5068999999999994E-3</v>
      </c>
      <c r="Q130" s="20">
        <f t="shared" si="8"/>
        <v>-3.8743025999999993E-2</v>
      </c>
      <c r="R130" s="20">
        <f t="shared" si="9"/>
        <v>-4.1908366666666669E-2</v>
      </c>
      <c r="S130" s="20">
        <v>125</v>
      </c>
    </row>
    <row r="131" spans="1:19" x14ac:dyDescent="0.15">
      <c r="A131" s="79">
        <f>Q6_ii_RawData!A110</f>
        <v>45230</v>
      </c>
      <c r="B131" s="45">
        <f>$B$11*Q6_ii_RawData!B110+$B$12*Q6_ii_RawData!C110+$B$13*Q6_ii_RawData!D110+$B$14*Q6_ii_RawData!E110+$B$15*Q6_ii_RawData!F110+$B$16*Q6_ii_RawData!G110+$B$17*Q6_ii_RawData!H110+$B$18*Q6_ii_RawData!I110+$B$19*Q6_ii_RawData!J110+$B$20*Q6_ii_RawData!K110</f>
        <v>7.4917000000000004E-3</v>
      </c>
      <c r="P131" s="20">
        <f t="shared" si="7"/>
        <v>1.6027000000000003E-3</v>
      </c>
      <c r="Q131" s="20">
        <f t="shared" si="8"/>
        <v>-3.8743025999999993E-2</v>
      </c>
      <c r="R131" s="20">
        <f t="shared" si="9"/>
        <v>-4.1908366666666669E-2</v>
      </c>
      <c r="S131" s="20">
        <v>126</v>
      </c>
    </row>
    <row r="132" spans="1:19" x14ac:dyDescent="0.15">
      <c r="A132" s="79">
        <f>Q6_ii_RawData!A111</f>
        <v>45231</v>
      </c>
      <c r="B132" s="45">
        <f>$B$11*Q6_ii_RawData!B111+$B$12*Q6_ii_RawData!C111+$B$13*Q6_ii_RawData!D111+$B$14*Q6_ii_RawData!E111+$B$15*Q6_ii_RawData!F111+$B$16*Q6_ii_RawData!G111+$B$17*Q6_ii_RawData!H111+$B$18*Q6_ii_RawData!I111+$B$19*Q6_ii_RawData!J111+$B$20*Q6_ii_RawData!K111</f>
        <v>3.9241999999999999E-2</v>
      </c>
      <c r="P132" s="20">
        <f t="shared" si="7"/>
        <v>1.7638000000000005E-3</v>
      </c>
      <c r="Q132" s="20">
        <f t="shared" si="8"/>
        <v>-3.8743025999999993E-2</v>
      </c>
      <c r="R132" s="20">
        <f t="shared" si="9"/>
        <v>-4.1908366666666669E-2</v>
      </c>
      <c r="S132" s="20">
        <v>127</v>
      </c>
    </row>
    <row r="133" spans="1:19" x14ac:dyDescent="0.15">
      <c r="A133" s="79">
        <f>Q6_ii_RawData!A112</f>
        <v>45232</v>
      </c>
      <c r="B133" s="45">
        <f>$B$11*Q6_ii_RawData!B112+$B$12*Q6_ii_RawData!C112+$B$13*Q6_ii_RawData!D112+$B$14*Q6_ii_RawData!E112+$B$15*Q6_ii_RawData!F112+$B$16*Q6_ii_RawData!G112+$B$17*Q6_ii_RawData!H112+$B$18*Q6_ii_RawData!I112+$B$19*Q6_ii_RawData!J112+$B$20*Q6_ii_RawData!K112</f>
        <v>2.2868600000000003E-2</v>
      </c>
      <c r="P133" s="20">
        <f t="shared" si="7"/>
        <v>1.8985999999999999E-3</v>
      </c>
      <c r="Q133" s="20">
        <f t="shared" si="8"/>
        <v>-3.8743025999999993E-2</v>
      </c>
      <c r="R133" s="20">
        <f t="shared" si="9"/>
        <v>-4.1908366666666669E-2</v>
      </c>
      <c r="S133" s="20">
        <v>128</v>
      </c>
    </row>
    <row r="134" spans="1:19" x14ac:dyDescent="0.15">
      <c r="A134" s="79">
        <f>Q6_ii_RawData!A113</f>
        <v>45233</v>
      </c>
      <c r="B134" s="45">
        <f>$B$11*Q6_ii_RawData!B113+$B$12*Q6_ii_RawData!C113+$B$13*Q6_ii_RawData!D113+$B$14*Q6_ii_RawData!E113+$B$15*Q6_ii_RawData!F113+$B$16*Q6_ii_RawData!G113+$B$17*Q6_ii_RawData!H113+$B$18*Q6_ii_RawData!I113+$B$19*Q6_ii_RawData!J113+$B$20*Q6_ii_RawData!K113</f>
        <v>-1.48053E-2</v>
      </c>
      <c r="P134" s="20">
        <f t="shared" ref="P134:P197" si="10">SMALL($B$23:$B$274,ROW()-5)</f>
        <v>2.1116999999999998E-3</v>
      </c>
      <c r="Q134" s="20">
        <f t="shared" ref="Q134:Q197" si="11">-$E$26/$B$6</f>
        <v>-3.8743025999999993E-2</v>
      </c>
      <c r="R134" s="20">
        <f t="shared" ref="R134:R197" si="12">-$E$27/$B$6</f>
        <v>-4.1908366666666669E-2</v>
      </c>
      <c r="S134" s="20">
        <v>129</v>
      </c>
    </row>
    <row r="135" spans="1:19" x14ac:dyDescent="0.15">
      <c r="A135" s="79">
        <f>Q6_ii_RawData!A114</f>
        <v>45236</v>
      </c>
      <c r="B135" s="45">
        <f>$B$11*Q6_ii_RawData!B114+$B$12*Q6_ii_RawData!C114+$B$13*Q6_ii_RawData!D114+$B$14*Q6_ii_RawData!E114+$B$15*Q6_ii_RawData!F114+$B$16*Q6_ii_RawData!G114+$B$17*Q6_ii_RawData!H114+$B$18*Q6_ii_RawData!I114+$B$19*Q6_ii_RawData!J114+$B$20*Q6_ii_RawData!K114</f>
        <v>6.8786999999999997E-3</v>
      </c>
      <c r="P135" s="20">
        <f t="shared" si="10"/>
        <v>2.2740000000000004E-3</v>
      </c>
      <c r="Q135" s="20">
        <f t="shared" si="11"/>
        <v>-3.8743025999999993E-2</v>
      </c>
      <c r="R135" s="20">
        <f t="shared" si="12"/>
        <v>-4.1908366666666669E-2</v>
      </c>
      <c r="S135" s="20">
        <v>130</v>
      </c>
    </row>
    <row r="136" spans="1:19" x14ac:dyDescent="0.15">
      <c r="A136" s="79">
        <f>Q6_ii_RawData!A115</f>
        <v>45237</v>
      </c>
      <c r="B136" s="45">
        <f>$B$11*Q6_ii_RawData!B115+$B$12*Q6_ii_RawData!C115+$B$13*Q6_ii_RawData!D115+$B$14*Q6_ii_RawData!E115+$B$15*Q6_ii_RawData!F115+$B$16*Q6_ii_RawData!G115+$B$17*Q6_ii_RawData!H115+$B$18*Q6_ii_RawData!I115+$B$19*Q6_ii_RawData!J115+$B$20*Q6_ii_RawData!K115</f>
        <v>1.1259999999999916E-4</v>
      </c>
      <c r="P136" s="20">
        <f t="shared" si="10"/>
        <v>2.2778000000000004E-3</v>
      </c>
      <c r="Q136" s="20">
        <f t="shared" si="11"/>
        <v>-3.8743025999999993E-2</v>
      </c>
      <c r="R136" s="20">
        <f t="shared" si="12"/>
        <v>-4.1908366666666669E-2</v>
      </c>
      <c r="S136" s="20">
        <v>131</v>
      </c>
    </row>
    <row r="137" spans="1:19" x14ac:dyDescent="0.15">
      <c r="A137" s="79">
        <f>Q6_ii_RawData!A116</f>
        <v>45238</v>
      </c>
      <c r="B137" s="45">
        <f>$B$11*Q6_ii_RawData!B116+$B$12*Q6_ii_RawData!C116+$B$13*Q6_ii_RawData!D116+$B$14*Q6_ii_RawData!E116+$B$15*Q6_ii_RawData!F116+$B$16*Q6_ii_RawData!G116+$B$17*Q6_ii_RawData!H116+$B$18*Q6_ii_RawData!I116+$B$19*Q6_ii_RawData!J116+$B$20*Q6_ii_RawData!K116</f>
        <v>-8.0941000000000016E-3</v>
      </c>
      <c r="P137" s="20">
        <f t="shared" si="10"/>
        <v>2.5628000000000001E-3</v>
      </c>
      <c r="Q137" s="20">
        <f t="shared" si="11"/>
        <v>-3.8743025999999993E-2</v>
      </c>
      <c r="R137" s="20">
        <f t="shared" si="12"/>
        <v>-4.1908366666666669E-2</v>
      </c>
      <c r="S137" s="20">
        <v>132</v>
      </c>
    </row>
    <row r="138" spans="1:19" x14ac:dyDescent="0.15">
      <c r="A138" s="79">
        <f>Q6_ii_RawData!A117</f>
        <v>45239</v>
      </c>
      <c r="B138" s="45">
        <f>$B$11*Q6_ii_RawData!B117+$B$12*Q6_ii_RawData!C117+$B$13*Q6_ii_RawData!D117+$B$14*Q6_ii_RawData!E117+$B$15*Q6_ii_RawData!F117+$B$16*Q6_ii_RawData!G117+$B$17*Q6_ii_RawData!H117+$B$18*Q6_ii_RawData!I117+$B$19*Q6_ii_RawData!J117+$B$20*Q6_ii_RawData!K117</f>
        <v>2.2079700000000001E-2</v>
      </c>
      <c r="P138" s="20">
        <f t="shared" si="10"/>
        <v>3.0953999999999999E-3</v>
      </c>
      <c r="Q138" s="20">
        <f t="shared" si="11"/>
        <v>-3.8743025999999993E-2</v>
      </c>
      <c r="R138" s="20">
        <f t="shared" si="12"/>
        <v>-4.1908366666666669E-2</v>
      </c>
      <c r="S138" s="20">
        <v>133</v>
      </c>
    </row>
    <row r="139" spans="1:19" x14ac:dyDescent="0.15">
      <c r="A139" s="79">
        <f>Q6_ii_RawData!A118</f>
        <v>45240</v>
      </c>
      <c r="B139" s="45">
        <f>$B$11*Q6_ii_RawData!B118+$B$12*Q6_ii_RawData!C118+$B$13*Q6_ii_RawData!D118+$B$14*Q6_ii_RawData!E118+$B$15*Q6_ii_RawData!F118+$B$16*Q6_ii_RawData!G118+$B$17*Q6_ii_RawData!H118+$B$18*Q6_ii_RawData!I118+$B$19*Q6_ii_RawData!J118+$B$20*Q6_ii_RawData!K118</f>
        <v>-3.3379000000000004E-3</v>
      </c>
      <c r="P139" s="20">
        <f t="shared" si="10"/>
        <v>3.2142E-3</v>
      </c>
      <c r="Q139" s="20">
        <f t="shared" si="11"/>
        <v>-3.8743025999999993E-2</v>
      </c>
      <c r="R139" s="20">
        <f t="shared" si="12"/>
        <v>-4.1908366666666669E-2</v>
      </c>
      <c r="S139" s="20">
        <v>134</v>
      </c>
    </row>
    <row r="140" spans="1:19" x14ac:dyDescent="0.15">
      <c r="A140" s="79">
        <f>Q6_ii_RawData!A119</f>
        <v>45243</v>
      </c>
      <c r="B140" s="45">
        <f>$B$11*Q6_ii_RawData!B119+$B$12*Q6_ii_RawData!C119+$B$13*Q6_ii_RawData!D119+$B$14*Q6_ii_RawData!E119+$B$15*Q6_ii_RawData!F119+$B$16*Q6_ii_RawData!G119+$B$17*Q6_ii_RawData!H119+$B$18*Q6_ii_RawData!I119+$B$19*Q6_ii_RawData!J119+$B$20*Q6_ii_RawData!K119</f>
        <v>3.3204400000000002E-2</v>
      </c>
      <c r="P140" s="20">
        <f t="shared" si="10"/>
        <v>4.0523E-3</v>
      </c>
      <c r="Q140" s="20">
        <f t="shared" si="11"/>
        <v>-3.8743025999999993E-2</v>
      </c>
      <c r="R140" s="20">
        <f t="shared" si="12"/>
        <v>-4.1908366666666669E-2</v>
      </c>
      <c r="S140" s="20">
        <v>135</v>
      </c>
    </row>
    <row r="141" spans="1:19" x14ac:dyDescent="0.15">
      <c r="A141" s="79">
        <f>Q6_ii_RawData!A120</f>
        <v>45244</v>
      </c>
      <c r="B141" s="45">
        <f>$B$11*Q6_ii_RawData!B120+$B$12*Q6_ii_RawData!C120+$B$13*Q6_ii_RawData!D120+$B$14*Q6_ii_RawData!E120+$B$15*Q6_ii_RawData!F120+$B$16*Q6_ii_RawData!G120+$B$17*Q6_ii_RawData!H120+$B$18*Q6_ii_RawData!I120+$B$19*Q6_ii_RawData!J120+$B$20*Q6_ii_RawData!K120</f>
        <v>2.3327100000000003E-2</v>
      </c>
      <c r="P141" s="20">
        <f t="shared" si="10"/>
        <v>4.2276999999999983E-3</v>
      </c>
      <c r="Q141" s="20">
        <f t="shared" si="11"/>
        <v>-3.8743025999999993E-2</v>
      </c>
      <c r="R141" s="20">
        <f t="shared" si="12"/>
        <v>-4.1908366666666669E-2</v>
      </c>
      <c r="S141" s="20">
        <v>136</v>
      </c>
    </row>
    <row r="142" spans="1:19" x14ac:dyDescent="0.15">
      <c r="A142" s="79">
        <f>Q6_ii_RawData!A121</f>
        <v>45245</v>
      </c>
      <c r="B142" s="45">
        <f>$B$11*Q6_ii_RawData!B121+$B$12*Q6_ii_RawData!C121+$B$13*Q6_ii_RawData!D121+$B$14*Q6_ii_RawData!E121+$B$15*Q6_ii_RawData!F121+$B$16*Q6_ii_RawData!G121+$B$17*Q6_ii_RawData!H121+$B$18*Q6_ii_RawData!I121+$B$19*Q6_ii_RawData!J121+$B$20*Q6_ii_RawData!K121</f>
        <v>-2.034E-2</v>
      </c>
      <c r="P142" s="20">
        <f t="shared" si="10"/>
        <v>4.2667E-3</v>
      </c>
      <c r="Q142" s="20">
        <f t="shared" si="11"/>
        <v>-3.8743025999999993E-2</v>
      </c>
      <c r="R142" s="20">
        <f t="shared" si="12"/>
        <v>-4.1908366666666669E-2</v>
      </c>
      <c r="S142" s="20">
        <v>137</v>
      </c>
    </row>
    <row r="143" spans="1:19" x14ac:dyDescent="0.15">
      <c r="A143" s="79">
        <f>Q6_ii_RawData!A122</f>
        <v>45246</v>
      </c>
      <c r="B143" s="45">
        <f>$B$11*Q6_ii_RawData!B122+$B$12*Q6_ii_RawData!C122+$B$13*Q6_ii_RawData!D122+$B$14*Q6_ii_RawData!E122+$B$15*Q6_ii_RawData!F122+$B$16*Q6_ii_RawData!G122+$B$17*Q6_ii_RawData!H122+$B$18*Q6_ii_RawData!I122+$B$19*Q6_ii_RawData!J122+$B$20*Q6_ii_RawData!K122</f>
        <v>7.5357000000000002E-3</v>
      </c>
      <c r="P143" s="20">
        <f t="shared" si="10"/>
        <v>4.3585000000000004E-3</v>
      </c>
      <c r="Q143" s="20">
        <f t="shared" si="11"/>
        <v>-3.8743025999999993E-2</v>
      </c>
      <c r="R143" s="20">
        <f t="shared" si="12"/>
        <v>-4.1908366666666669E-2</v>
      </c>
      <c r="S143" s="20">
        <v>138</v>
      </c>
    </row>
    <row r="144" spans="1:19" x14ac:dyDescent="0.15">
      <c r="A144" s="79">
        <f>Q6_ii_RawData!A123</f>
        <v>45247</v>
      </c>
      <c r="B144" s="45">
        <f>$B$11*Q6_ii_RawData!B123+$B$12*Q6_ii_RawData!C123+$B$13*Q6_ii_RawData!D123+$B$14*Q6_ii_RawData!E123+$B$15*Q6_ii_RawData!F123+$B$16*Q6_ii_RawData!G123+$B$17*Q6_ii_RawData!H123+$B$18*Q6_ii_RawData!I123+$B$19*Q6_ii_RawData!J123+$B$20*Q6_ii_RawData!K123</f>
        <v>1.7075000000000003E-2</v>
      </c>
      <c r="P144" s="20">
        <f t="shared" si="10"/>
        <v>4.6235E-3</v>
      </c>
      <c r="Q144" s="20">
        <f t="shared" si="11"/>
        <v>-3.8743025999999993E-2</v>
      </c>
      <c r="R144" s="20">
        <f t="shared" si="12"/>
        <v>-4.1908366666666669E-2</v>
      </c>
      <c r="S144" s="20">
        <v>139</v>
      </c>
    </row>
    <row r="145" spans="1:19" x14ac:dyDescent="0.15">
      <c r="A145" s="79">
        <f>Q6_ii_RawData!A124</f>
        <v>45250</v>
      </c>
      <c r="B145" s="45">
        <f>$B$11*Q6_ii_RawData!B124+$B$12*Q6_ii_RawData!C124+$B$13*Q6_ii_RawData!D124+$B$14*Q6_ii_RawData!E124+$B$15*Q6_ii_RawData!F124+$B$16*Q6_ii_RawData!G124+$B$17*Q6_ii_RawData!H124+$B$18*Q6_ii_RawData!I124+$B$19*Q6_ii_RawData!J124+$B$20*Q6_ii_RawData!K124</f>
        <v>-1.9722200000000002E-2</v>
      </c>
      <c r="P145" s="20">
        <f t="shared" si="10"/>
        <v>4.7412999999999995E-3</v>
      </c>
      <c r="Q145" s="20">
        <f t="shared" si="11"/>
        <v>-3.8743025999999993E-2</v>
      </c>
      <c r="R145" s="20">
        <f t="shared" si="12"/>
        <v>-4.1908366666666669E-2</v>
      </c>
      <c r="S145" s="20">
        <v>140</v>
      </c>
    </row>
    <row r="146" spans="1:19" x14ac:dyDescent="0.15">
      <c r="A146" s="79">
        <f>Q6_ii_RawData!A125</f>
        <v>45251</v>
      </c>
      <c r="B146" s="45">
        <f>$B$11*Q6_ii_RawData!B125+$B$12*Q6_ii_RawData!C125+$B$13*Q6_ii_RawData!D125+$B$14*Q6_ii_RawData!E125+$B$15*Q6_ii_RawData!F125+$B$16*Q6_ii_RawData!G125+$B$17*Q6_ii_RawData!H125+$B$18*Q6_ii_RawData!I125+$B$19*Q6_ii_RawData!J125+$B$20*Q6_ii_RawData!K125</f>
        <v>9.9892999999999996E-3</v>
      </c>
      <c r="P146" s="20">
        <f t="shared" si="10"/>
        <v>4.7819999999999998E-3</v>
      </c>
      <c r="Q146" s="20">
        <f t="shared" si="11"/>
        <v>-3.8743025999999993E-2</v>
      </c>
      <c r="R146" s="20">
        <f t="shared" si="12"/>
        <v>-4.1908366666666669E-2</v>
      </c>
      <c r="S146" s="20">
        <v>141</v>
      </c>
    </row>
    <row r="147" spans="1:19" x14ac:dyDescent="0.15">
      <c r="A147" s="79">
        <f>Q6_ii_RawData!A126</f>
        <v>45252</v>
      </c>
      <c r="B147" s="45">
        <f>$B$11*Q6_ii_RawData!B126+$B$12*Q6_ii_RawData!C126+$B$13*Q6_ii_RawData!D126+$B$14*Q6_ii_RawData!E126+$B$15*Q6_ii_RawData!F126+$B$16*Q6_ii_RawData!G126+$B$17*Q6_ii_RawData!H126+$B$18*Q6_ii_RawData!I126+$B$19*Q6_ii_RawData!J126+$B$20*Q6_ii_RawData!K126</f>
        <v>8.7958000000000012E-3</v>
      </c>
      <c r="P147" s="20">
        <f t="shared" si="10"/>
        <v>5.2003000000000006E-3</v>
      </c>
      <c r="Q147" s="20">
        <f t="shared" si="11"/>
        <v>-3.8743025999999993E-2</v>
      </c>
      <c r="R147" s="20">
        <f t="shared" si="12"/>
        <v>-4.1908366666666669E-2</v>
      </c>
      <c r="S147" s="20">
        <v>142</v>
      </c>
    </row>
    <row r="148" spans="1:19" x14ac:dyDescent="0.15">
      <c r="A148" s="79">
        <f>Q6_ii_RawData!A127</f>
        <v>45254</v>
      </c>
      <c r="B148" s="45">
        <f>$B$11*Q6_ii_RawData!B127+$B$12*Q6_ii_RawData!C127+$B$13*Q6_ii_RawData!D127+$B$14*Q6_ii_RawData!E127+$B$15*Q6_ii_RawData!F127+$B$16*Q6_ii_RawData!G127+$B$17*Q6_ii_RawData!H127+$B$18*Q6_ii_RawData!I127+$B$19*Q6_ii_RawData!J127+$B$20*Q6_ii_RawData!K127</f>
        <v>-5.8100000000000009E-3</v>
      </c>
      <c r="P148" s="20">
        <f t="shared" si="10"/>
        <v>5.2720000000000015E-3</v>
      </c>
      <c r="Q148" s="20">
        <f t="shared" si="11"/>
        <v>-3.8743025999999993E-2</v>
      </c>
      <c r="R148" s="20">
        <f t="shared" si="12"/>
        <v>-4.1908366666666669E-2</v>
      </c>
      <c r="S148" s="20">
        <v>143</v>
      </c>
    </row>
    <row r="149" spans="1:19" x14ac:dyDescent="0.15">
      <c r="A149" s="79">
        <f>Q6_ii_RawData!A128</f>
        <v>45257</v>
      </c>
      <c r="B149" s="45">
        <f>$B$11*Q6_ii_RawData!B128+$B$12*Q6_ii_RawData!C128+$B$13*Q6_ii_RawData!D128+$B$14*Q6_ii_RawData!E128+$B$15*Q6_ii_RawData!F128+$B$16*Q6_ii_RawData!G128+$B$17*Q6_ii_RawData!H128+$B$18*Q6_ii_RawData!I128+$B$19*Q6_ii_RawData!J128+$B$20*Q6_ii_RawData!K128</f>
        <v>1.2474399999999998E-2</v>
      </c>
      <c r="P149" s="20">
        <f t="shared" si="10"/>
        <v>5.2907000000000006E-3</v>
      </c>
      <c r="Q149" s="20">
        <f t="shared" si="11"/>
        <v>-3.8743025999999993E-2</v>
      </c>
      <c r="R149" s="20">
        <f t="shared" si="12"/>
        <v>-4.1908366666666669E-2</v>
      </c>
      <c r="S149" s="20">
        <v>144</v>
      </c>
    </row>
    <row r="150" spans="1:19" x14ac:dyDescent="0.15">
      <c r="A150" s="79">
        <f>Q6_ii_RawData!A129</f>
        <v>45258</v>
      </c>
      <c r="B150" s="45">
        <f>$B$11*Q6_ii_RawData!B129+$B$12*Q6_ii_RawData!C129+$B$13*Q6_ii_RawData!D129+$B$14*Q6_ii_RawData!E129+$B$15*Q6_ii_RawData!F129+$B$16*Q6_ii_RawData!G129+$B$17*Q6_ii_RawData!H129+$B$18*Q6_ii_RawData!I129+$B$19*Q6_ii_RawData!J129+$B$20*Q6_ii_RawData!K129</f>
        <v>6.1765000000000014E-3</v>
      </c>
      <c r="P150" s="20">
        <f t="shared" si="10"/>
        <v>5.4396000000000002E-3</v>
      </c>
      <c r="Q150" s="20">
        <f t="shared" si="11"/>
        <v>-3.8743025999999993E-2</v>
      </c>
      <c r="R150" s="20">
        <f t="shared" si="12"/>
        <v>-4.1908366666666669E-2</v>
      </c>
      <c r="S150" s="20">
        <v>145</v>
      </c>
    </row>
    <row r="151" spans="1:19" x14ac:dyDescent="0.15">
      <c r="A151" s="79">
        <f>Q6_ii_RawData!A130</f>
        <v>45259</v>
      </c>
      <c r="B151" s="45">
        <f>$B$11*Q6_ii_RawData!B130+$B$12*Q6_ii_RawData!C130+$B$13*Q6_ii_RawData!D130+$B$14*Q6_ii_RawData!E130+$B$15*Q6_ii_RawData!F130+$B$16*Q6_ii_RawData!G130+$B$17*Q6_ii_RawData!H130+$B$18*Q6_ii_RawData!I130+$B$19*Q6_ii_RawData!J130+$B$20*Q6_ii_RawData!K130</f>
        <v>-2.0291000000000011E-3</v>
      </c>
      <c r="P151" s="20">
        <f t="shared" si="10"/>
        <v>5.4727000000000005E-3</v>
      </c>
      <c r="Q151" s="20">
        <f t="shared" si="11"/>
        <v>-3.8743025999999993E-2</v>
      </c>
      <c r="R151" s="20">
        <f t="shared" si="12"/>
        <v>-4.1908366666666669E-2</v>
      </c>
      <c r="S151" s="20">
        <v>146</v>
      </c>
    </row>
    <row r="152" spans="1:19" x14ac:dyDescent="0.15">
      <c r="A152" s="79">
        <f>Q6_ii_RawData!A131</f>
        <v>45260</v>
      </c>
      <c r="B152" s="45">
        <f>$B$11*Q6_ii_RawData!B131+$B$12*Q6_ii_RawData!C131+$B$13*Q6_ii_RawData!D131+$B$14*Q6_ii_RawData!E131+$B$15*Q6_ii_RawData!F131+$B$16*Q6_ii_RawData!G131+$B$17*Q6_ii_RawData!H131+$B$18*Q6_ii_RawData!I131+$B$19*Q6_ii_RawData!J131+$B$20*Q6_ii_RawData!K131</f>
        <v>3.0570200000000009E-2</v>
      </c>
      <c r="P152" s="20">
        <f t="shared" si="10"/>
        <v>5.7112999999999999E-3</v>
      </c>
      <c r="Q152" s="20">
        <f t="shared" si="11"/>
        <v>-3.8743025999999993E-2</v>
      </c>
      <c r="R152" s="20">
        <f t="shared" si="12"/>
        <v>-4.1908366666666669E-2</v>
      </c>
      <c r="S152" s="20">
        <v>147</v>
      </c>
    </row>
    <row r="153" spans="1:19" x14ac:dyDescent="0.15">
      <c r="A153" s="79">
        <f>Q6_ii_RawData!A132</f>
        <v>45261</v>
      </c>
      <c r="B153" s="45">
        <f>$B$11*Q6_ii_RawData!B132+$B$12*Q6_ii_RawData!C132+$B$13*Q6_ii_RawData!D132+$B$14*Q6_ii_RawData!E132+$B$15*Q6_ii_RawData!F132+$B$16*Q6_ii_RawData!G132+$B$17*Q6_ii_RawData!H132+$B$18*Q6_ii_RawData!I132+$B$19*Q6_ii_RawData!J132+$B$20*Q6_ii_RawData!K132</f>
        <v>-4.0522000000000023E-3</v>
      </c>
      <c r="P153" s="20">
        <f t="shared" si="10"/>
        <v>5.7355999999999987E-3</v>
      </c>
      <c r="Q153" s="20">
        <f t="shared" si="11"/>
        <v>-3.8743025999999993E-2</v>
      </c>
      <c r="R153" s="20">
        <f t="shared" si="12"/>
        <v>-4.1908366666666669E-2</v>
      </c>
      <c r="S153" s="20">
        <v>148</v>
      </c>
    </row>
    <row r="154" spans="1:19" x14ac:dyDescent="0.15">
      <c r="A154" s="79">
        <f>Q6_ii_RawData!A133</f>
        <v>45264</v>
      </c>
      <c r="B154" s="45">
        <f>$B$11*Q6_ii_RawData!B133+$B$12*Q6_ii_RawData!C133+$B$13*Q6_ii_RawData!D133+$B$14*Q6_ii_RawData!E133+$B$15*Q6_ii_RawData!F133+$B$16*Q6_ii_RawData!G133+$B$17*Q6_ii_RawData!H133+$B$18*Q6_ii_RawData!I133+$B$19*Q6_ii_RawData!J133+$B$20*Q6_ii_RawData!K133</f>
        <v>-3.0240000000000041E-4</v>
      </c>
      <c r="P154" s="20">
        <f t="shared" si="10"/>
        <v>5.8851999999999993E-3</v>
      </c>
      <c r="Q154" s="20">
        <f t="shared" si="11"/>
        <v>-3.8743025999999993E-2</v>
      </c>
      <c r="R154" s="20">
        <f t="shared" si="12"/>
        <v>-4.1908366666666669E-2</v>
      </c>
      <c r="S154" s="20">
        <v>149</v>
      </c>
    </row>
    <row r="155" spans="1:19" x14ac:dyDescent="0.15">
      <c r="A155" s="79">
        <f>Q6_ii_RawData!A134</f>
        <v>45265</v>
      </c>
      <c r="B155" s="45">
        <f>$B$11*Q6_ii_RawData!B134+$B$12*Q6_ii_RawData!C134+$B$13*Q6_ii_RawData!D134+$B$14*Q6_ii_RawData!E134+$B$15*Q6_ii_RawData!F134+$B$16*Q6_ii_RawData!G134+$B$17*Q6_ii_RawData!H134+$B$18*Q6_ii_RawData!I134+$B$19*Q6_ii_RawData!J134+$B$20*Q6_ii_RawData!K134</f>
        <v>-2.2259999999999869E-4</v>
      </c>
      <c r="P155" s="20">
        <f t="shared" si="10"/>
        <v>5.931399999999999E-3</v>
      </c>
      <c r="Q155" s="20">
        <f t="shared" si="11"/>
        <v>-3.8743025999999993E-2</v>
      </c>
      <c r="R155" s="20">
        <f t="shared" si="12"/>
        <v>-4.1908366666666669E-2</v>
      </c>
      <c r="S155" s="20">
        <v>150</v>
      </c>
    </row>
    <row r="156" spans="1:19" x14ac:dyDescent="0.15">
      <c r="A156" s="79">
        <f>Q6_ii_RawData!A135</f>
        <v>45266</v>
      </c>
      <c r="B156" s="45">
        <f>$B$11*Q6_ii_RawData!B135+$B$12*Q6_ii_RawData!C135+$B$13*Q6_ii_RawData!D135+$B$14*Q6_ii_RawData!E135+$B$15*Q6_ii_RawData!F135+$B$16*Q6_ii_RawData!G135+$B$17*Q6_ii_RawData!H135+$B$18*Q6_ii_RawData!I135+$B$19*Q6_ii_RawData!J135+$B$20*Q6_ii_RawData!K135</f>
        <v>6.6625000000000009E-3</v>
      </c>
      <c r="P156" s="20">
        <f t="shared" si="10"/>
        <v>5.9590000000000008E-3</v>
      </c>
      <c r="Q156" s="20">
        <f t="shared" si="11"/>
        <v>-3.8743025999999993E-2</v>
      </c>
      <c r="R156" s="20">
        <f t="shared" si="12"/>
        <v>-4.1908366666666669E-2</v>
      </c>
      <c r="S156" s="20">
        <v>151</v>
      </c>
    </row>
    <row r="157" spans="1:19" x14ac:dyDescent="0.15">
      <c r="A157" s="79">
        <f>Q6_ii_RawData!A136</f>
        <v>45267</v>
      </c>
      <c r="B157" s="45">
        <f>$B$11*Q6_ii_RawData!B136+$B$12*Q6_ii_RawData!C136+$B$13*Q6_ii_RawData!D136+$B$14*Q6_ii_RawData!E136+$B$15*Q6_ii_RawData!F136+$B$16*Q6_ii_RawData!G136+$B$17*Q6_ii_RawData!H136+$B$18*Q6_ii_RawData!I136+$B$19*Q6_ii_RawData!J136+$B$20*Q6_ii_RawData!K136</f>
        <v>2.0794200000000002E-2</v>
      </c>
      <c r="P157" s="20">
        <f t="shared" si="10"/>
        <v>6.1765000000000014E-3</v>
      </c>
      <c r="Q157" s="20">
        <f t="shared" si="11"/>
        <v>-3.8743025999999993E-2</v>
      </c>
      <c r="R157" s="20">
        <f t="shared" si="12"/>
        <v>-4.1908366666666669E-2</v>
      </c>
      <c r="S157" s="20">
        <v>152</v>
      </c>
    </row>
    <row r="158" spans="1:19" x14ac:dyDescent="0.15">
      <c r="A158" s="79">
        <f>Q6_ii_RawData!A137</f>
        <v>45268</v>
      </c>
      <c r="B158" s="45">
        <f>$B$11*Q6_ii_RawData!B137+$B$12*Q6_ii_RawData!C137+$B$13*Q6_ii_RawData!D137+$B$14*Q6_ii_RawData!E137+$B$15*Q6_ii_RawData!F137+$B$16*Q6_ii_RawData!G137+$B$17*Q6_ii_RawData!H137+$B$18*Q6_ii_RawData!I137+$B$19*Q6_ii_RawData!J137+$B$20*Q6_ii_RawData!K137</f>
        <v>-1.3076399999999997E-2</v>
      </c>
      <c r="P158" s="20">
        <f t="shared" si="10"/>
        <v>6.2416999999999993E-3</v>
      </c>
      <c r="Q158" s="20">
        <f t="shared" si="11"/>
        <v>-3.8743025999999993E-2</v>
      </c>
      <c r="R158" s="20">
        <f t="shared" si="12"/>
        <v>-4.1908366666666669E-2</v>
      </c>
      <c r="S158" s="20">
        <v>153</v>
      </c>
    </row>
    <row r="159" spans="1:19" x14ac:dyDescent="0.15">
      <c r="A159" s="79">
        <f>Q6_ii_RawData!A138</f>
        <v>45271</v>
      </c>
      <c r="B159" s="45">
        <f>$B$11*Q6_ii_RawData!B138+$B$12*Q6_ii_RawData!C138+$B$13*Q6_ii_RawData!D138+$B$14*Q6_ii_RawData!E138+$B$15*Q6_ii_RawData!F138+$B$16*Q6_ii_RawData!G138+$B$17*Q6_ii_RawData!H138+$B$18*Q6_ii_RawData!I138+$B$19*Q6_ii_RawData!J138+$B$20*Q6_ii_RawData!K138</f>
        <v>5.4396000000000002E-3</v>
      </c>
      <c r="P159" s="20">
        <f t="shared" si="10"/>
        <v>6.2748000000000005E-3</v>
      </c>
      <c r="Q159" s="20">
        <f t="shared" si="11"/>
        <v>-3.8743025999999993E-2</v>
      </c>
      <c r="R159" s="20">
        <f t="shared" si="12"/>
        <v>-4.1908366666666669E-2</v>
      </c>
      <c r="S159" s="20">
        <v>154</v>
      </c>
    </row>
    <row r="160" spans="1:19" x14ac:dyDescent="0.15">
      <c r="A160" s="79">
        <f>Q6_ii_RawData!A139</f>
        <v>45272</v>
      </c>
      <c r="B160" s="45">
        <f>$B$11*Q6_ii_RawData!B139+$B$12*Q6_ii_RawData!C139+$B$13*Q6_ii_RawData!D139+$B$14*Q6_ii_RawData!E139+$B$15*Q6_ii_RawData!F139+$B$16*Q6_ii_RawData!G139+$B$17*Q6_ii_RawData!H139+$B$18*Q6_ii_RawData!I139+$B$19*Q6_ii_RawData!J139+$B$20*Q6_ii_RawData!K139</f>
        <v>3.7443700000000003E-2</v>
      </c>
      <c r="P160" s="20">
        <f t="shared" si="10"/>
        <v>6.6625000000000009E-3</v>
      </c>
      <c r="Q160" s="20">
        <f t="shared" si="11"/>
        <v>-3.8743025999999993E-2</v>
      </c>
      <c r="R160" s="20">
        <f t="shared" si="12"/>
        <v>-4.1908366666666669E-2</v>
      </c>
      <c r="S160" s="20">
        <v>155</v>
      </c>
    </row>
    <row r="161" spans="1:19" x14ac:dyDescent="0.15">
      <c r="A161" s="79">
        <f>Q6_ii_RawData!A140</f>
        <v>45273</v>
      </c>
      <c r="B161" s="45">
        <f>$B$11*Q6_ii_RawData!B140+$B$12*Q6_ii_RawData!C140+$B$13*Q6_ii_RawData!D140+$B$14*Q6_ii_RawData!E140+$B$15*Q6_ii_RawData!F140+$B$16*Q6_ii_RawData!G140+$B$17*Q6_ii_RawData!H140+$B$18*Q6_ii_RawData!I140+$B$19*Q6_ii_RawData!J140+$B$20*Q6_ii_RawData!K140</f>
        <v>2.9506900000000003E-2</v>
      </c>
      <c r="P161" s="20">
        <f t="shared" si="10"/>
        <v>6.7156999999999998E-3</v>
      </c>
      <c r="Q161" s="20">
        <f t="shared" si="11"/>
        <v>-3.8743025999999993E-2</v>
      </c>
      <c r="R161" s="20">
        <f t="shared" si="12"/>
        <v>-4.1908366666666669E-2</v>
      </c>
      <c r="S161" s="20">
        <v>156</v>
      </c>
    </row>
    <row r="162" spans="1:19" x14ac:dyDescent="0.15">
      <c r="A162" s="79">
        <f>Q6_ii_RawData!A141</f>
        <v>45274</v>
      </c>
      <c r="B162" s="45">
        <f>$B$11*Q6_ii_RawData!B141+$B$12*Q6_ii_RawData!C141+$B$13*Q6_ii_RawData!D141+$B$14*Q6_ii_RawData!E141+$B$15*Q6_ii_RawData!F141+$B$16*Q6_ii_RawData!G141+$B$17*Q6_ii_RawData!H141+$B$18*Q6_ii_RawData!I141+$B$19*Q6_ii_RawData!J141+$B$20*Q6_ii_RawData!K141</f>
        <v>5.2003000000000006E-3</v>
      </c>
      <c r="P162" s="20">
        <f t="shared" si="10"/>
        <v>6.8786999999999997E-3</v>
      </c>
      <c r="Q162" s="20">
        <f t="shared" si="11"/>
        <v>-3.8743025999999993E-2</v>
      </c>
      <c r="R162" s="20">
        <f t="shared" si="12"/>
        <v>-4.1908366666666669E-2</v>
      </c>
      <c r="S162" s="20">
        <v>157</v>
      </c>
    </row>
    <row r="163" spans="1:19" x14ac:dyDescent="0.15">
      <c r="A163" s="79">
        <f>Q6_ii_RawData!A142</f>
        <v>45275</v>
      </c>
      <c r="B163" s="45">
        <f>$B$11*Q6_ii_RawData!B142+$B$12*Q6_ii_RawData!C142+$B$13*Q6_ii_RawData!D142+$B$14*Q6_ii_RawData!E142+$B$15*Q6_ii_RawData!F142+$B$16*Q6_ii_RawData!G142+$B$17*Q6_ii_RawData!H142+$B$18*Q6_ii_RawData!I142+$B$19*Q6_ii_RawData!J142+$B$20*Q6_ii_RawData!K142</f>
        <v>1.9413199999999999E-2</v>
      </c>
      <c r="P163" s="20">
        <f t="shared" si="10"/>
        <v>7.1526000000000003E-3</v>
      </c>
      <c r="Q163" s="20">
        <f t="shared" si="11"/>
        <v>-3.8743025999999993E-2</v>
      </c>
      <c r="R163" s="20">
        <f t="shared" si="12"/>
        <v>-4.1908366666666669E-2</v>
      </c>
      <c r="S163" s="20">
        <v>158</v>
      </c>
    </row>
    <row r="164" spans="1:19" x14ac:dyDescent="0.15">
      <c r="A164" s="79">
        <f>Q6_ii_RawData!A143</f>
        <v>45278</v>
      </c>
      <c r="B164" s="45">
        <f>$B$11*Q6_ii_RawData!B143+$B$12*Q6_ii_RawData!C143+$B$13*Q6_ii_RawData!D143+$B$14*Q6_ii_RawData!E143+$B$15*Q6_ii_RawData!F143+$B$16*Q6_ii_RawData!G143+$B$17*Q6_ii_RawData!H143+$B$18*Q6_ii_RawData!I143+$B$19*Q6_ii_RawData!J143+$B$20*Q6_ii_RawData!K143</f>
        <v>2.7428000000000008E-2</v>
      </c>
      <c r="P164" s="20">
        <f t="shared" si="10"/>
        <v>7.2741999999999998E-3</v>
      </c>
      <c r="Q164" s="20">
        <f t="shared" si="11"/>
        <v>-3.8743025999999993E-2</v>
      </c>
      <c r="R164" s="20">
        <f t="shared" si="12"/>
        <v>-4.1908366666666669E-2</v>
      </c>
      <c r="S164" s="20">
        <v>159</v>
      </c>
    </row>
    <row r="165" spans="1:19" x14ac:dyDescent="0.15">
      <c r="A165" s="79">
        <f>Q6_ii_RawData!A144</f>
        <v>45279</v>
      </c>
      <c r="B165" s="45">
        <f>$B$11*Q6_ii_RawData!B144+$B$12*Q6_ii_RawData!C144+$B$13*Q6_ii_RawData!D144+$B$14*Q6_ii_RawData!E144+$B$15*Q6_ii_RawData!F144+$B$16*Q6_ii_RawData!G144+$B$17*Q6_ii_RawData!H144+$B$18*Q6_ii_RawData!I144+$B$19*Q6_ii_RawData!J144+$B$20*Q6_ii_RawData!K144</f>
        <v>-3.12249E-2</v>
      </c>
      <c r="P165" s="20">
        <f t="shared" si="10"/>
        <v>7.3318000000000012E-3</v>
      </c>
      <c r="Q165" s="20">
        <f t="shared" si="11"/>
        <v>-3.8743025999999993E-2</v>
      </c>
      <c r="R165" s="20">
        <f t="shared" si="12"/>
        <v>-4.1908366666666669E-2</v>
      </c>
      <c r="S165" s="20">
        <v>160</v>
      </c>
    </row>
    <row r="166" spans="1:19" x14ac:dyDescent="0.15">
      <c r="A166" s="79">
        <f>Q6_ii_RawData!A145</f>
        <v>45280</v>
      </c>
      <c r="B166" s="45">
        <f>$B$11*Q6_ii_RawData!B145+$B$12*Q6_ii_RawData!C145+$B$13*Q6_ii_RawData!D145+$B$14*Q6_ii_RawData!E145+$B$15*Q6_ii_RawData!F145+$B$16*Q6_ii_RawData!G145+$B$17*Q6_ii_RawData!H145+$B$18*Q6_ii_RawData!I145+$B$19*Q6_ii_RawData!J145+$B$20*Q6_ii_RawData!K145</f>
        <v>3.3860899999999999E-2</v>
      </c>
      <c r="P166" s="20">
        <f t="shared" si="10"/>
        <v>7.4716000000000019E-3</v>
      </c>
      <c r="Q166" s="20">
        <f t="shared" si="11"/>
        <v>-3.8743025999999993E-2</v>
      </c>
      <c r="R166" s="20">
        <f t="shared" si="12"/>
        <v>-4.1908366666666669E-2</v>
      </c>
      <c r="S166" s="20">
        <v>161</v>
      </c>
    </row>
    <row r="167" spans="1:19" x14ac:dyDescent="0.15">
      <c r="A167" s="79">
        <f>Q6_ii_RawData!A146</f>
        <v>45281</v>
      </c>
      <c r="B167" s="45">
        <f>$B$11*Q6_ii_RawData!B146+$B$12*Q6_ii_RawData!C146+$B$13*Q6_ii_RawData!D146+$B$14*Q6_ii_RawData!E146+$B$15*Q6_ii_RawData!F146+$B$16*Q6_ii_RawData!G146+$B$17*Q6_ii_RawData!H146+$B$18*Q6_ii_RawData!I146+$B$19*Q6_ii_RawData!J146+$B$20*Q6_ii_RawData!K146</f>
        <v>8.0972000000000006E-3</v>
      </c>
      <c r="P167" s="20">
        <f t="shared" si="10"/>
        <v>7.4917000000000004E-3</v>
      </c>
      <c r="Q167" s="20">
        <f t="shared" si="11"/>
        <v>-3.8743025999999993E-2</v>
      </c>
      <c r="R167" s="20">
        <f t="shared" si="12"/>
        <v>-4.1908366666666669E-2</v>
      </c>
      <c r="S167" s="20">
        <v>162</v>
      </c>
    </row>
    <row r="168" spans="1:19" x14ac:dyDescent="0.15">
      <c r="A168" s="79">
        <f>Q6_ii_RawData!A147</f>
        <v>45282</v>
      </c>
      <c r="B168" s="45">
        <f>$B$11*Q6_ii_RawData!B147+$B$12*Q6_ii_RawData!C147+$B$13*Q6_ii_RawData!D147+$B$14*Q6_ii_RawData!E147+$B$15*Q6_ii_RawData!F147+$B$16*Q6_ii_RawData!G147+$B$17*Q6_ii_RawData!H147+$B$18*Q6_ii_RawData!I147+$B$19*Q6_ii_RawData!J147+$B$20*Q6_ii_RawData!K147</f>
        <v>2.24192E-2</v>
      </c>
      <c r="P168" s="20">
        <f t="shared" si="10"/>
        <v>7.5120999999999999E-3</v>
      </c>
      <c r="Q168" s="20">
        <f t="shared" si="11"/>
        <v>-3.8743025999999993E-2</v>
      </c>
      <c r="R168" s="20">
        <f t="shared" si="12"/>
        <v>-4.1908366666666669E-2</v>
      </c>
      <c r="S168" s="20">
        <v>163</v>
      </c>
    </row>
    <row r="169" spans="1:19" x14ac:dyDescent="0.15">
      <c r="A169" s="79">
        <f>Q6_ii_RawData!A148</f>
        <v>45286</v>
      </c>
      <c r="B169" s="45">
        <f>$B$11*Q6_ii_RawData!B148+$B$12*Q6_ii_RawData!C148+$B$13*Q6_ii_RawData!D148+$B$14*Q6_ii_RawData!E148+$B$15*Q6_ii_RawData!F148+$B$16*Q6_ii_RawData!G148+$B$17*Q6_ii_RawData!H148+$B$18*Q6_ii_RawData!I148+$B$19*Q6_ii_RawData!J148+$B$20*Q6_ii_RawData!K148</f>
        <v>1.2255999999999998E-2</v>
      </c>
      <c r="P169" s="20">
        <f t="shared" si="10"/>
        <v>7.5357000000000002E-3</v>
      </c>
      <c r="Q169" s="20">
        <f t="shared" si="11"/>
        <v>-3.8743025999999993E-2</v>
      </c>
      <c r="R169" s="20">
        <f t="shared" si="12"/>
        <v>-4.1908366666666669E-2</v>
      </c>
      <c r="S169" s="20">
        <v>164</v>
      </c>
    </row>
    <row r="170" spans="1:19" x14ac:dyDescent="0.15">
      <c r="A170" s="79">
        <f>Q6_ii_RawData!A149</f>
        <v>45287</v>
      </c>
      <c r="B170" s="45">
        <f>$B$11*Q6_ii_RawData!B149+$B$12*Q6_ii_RawData!C149+$B$13*Q6_ii_RawData!D149+$B$14*Q6_ii_RawData!E149+$B$15*Q6_ii_RawData!F149+$B$16*Q6_ii_RawData!G149+$B$17*Q6_ii_RawData!H149+$B$18*Q6_ii_RawData!I149+$B$19*Q6_ii_RawData!J149+$B$20*Q6_ii_RawData!K149</f>
        <v>-6.8257000000000005E-3</v>
      </c>
      <c r="P170" s="20">
        <f t="shared" si="10"/>
        <v>7.9025999999999992E-3</v>
      </c>
      <c r="Q170" s="20">
        <f t="shared" si="11"/>
        <v>-3.8743025999999993E-2</v>
      </c>
      <c r="R170" s="20">
        <f t="shared" si="12"/>
        <v>-4.1908366666666669E-2</v>
      </c>
      <c r="S170" s="20">
        <v>165</v>
      </c>
    </row>
    <row r="171" spans="1:19" x14ac:dyDescent="0.15">
      <c r="A171" s="79">
        <f>Q6_ii_RawData!A150</f>
        <v>45288</v>
      </c>
      <c r="B171" s="45">
        <f>$B$11*Q6_ii_RawData!B150+$B$12*Q6_ii_RawData!C150+$B$13*Q6_ii_RawData!D150+$B$14*Q6_ii_RawData!E150+$B$15*Q6_ii_RawData!F150+$B$16*Q6_ii_RawData!G150+$B$17*Q6_ii_RawData!H150+$B$18*Q6_ii_RawData!I150+$B$19*Q6_ii_RawData!J150+$B$20*Q6_ii_RawData!K150</f>
        <v>-2.9778100000000002E-2</v>
      </c>
      <c r="P171" s="20">
        <f t="shared" si="10"/>
        <v>7.9287999999999997E-3</v>
      </c>
      <c r="Q171" s="20">
        <f t="shared" si="11"/>
        <v>-3.8743025999999993E-2</v>
      </c>
      <c r="R171" s="20">
        <f t="shared" si="12"/>
        <v>-4.1908366666666669E-2</v>
      </c>
      <c r="S171" s="20">
        <v>166</v>
      </c>
    </row>
    <row r="172" spans="1:19" x14ac:dyDescent="0.15">
      <c r="A172" s="79">
        <f>Q6_ii_RawData!A151</f>
        <v>45289</v>
      </c>
      <c r="B172" s="45">
        <f>$B$11*Q6_ii_RawData!B151+$B$12*Q6_ii_RawData!C151+$B$13*Q6_ii_RawData!D151+$B$14*Q6_ii_RawData!E151+$B$15*Q6_ii_RawData!F151+$B$16*Q6_ii_RawData!G151+$B$17*Q6_ii_RawData!H151+$B$18*Q6_ii_RawData!I151+$B$19*Q6_ii_RawData!J151+$B$20*Q6_ii_RawData!K151</f>
        <v>-3.671E-2</v>
      </c>
      <c r="P172" s="20">
        <f t="shared" si="10"/>
        <v>7.9420000000000011E-3</v>
      </c>
      <c r="Q172" s="20">
        <f t="shared" si="11"/>
        <v>-3.8743025999999993E-2</v>
      </c>
      <c r="R172" s="20">
        <f t="shared" si="12"/>
        <v>-4.1908366666666669E-2</v>
      </c>
      <c r="S172" s="20">
        <v>167</v>
      </c>
    </row>
    <row r="173" spans="1:19" x14ac:dyDescent="0.15">
      <c r="A173" s="79">
        <f>Q6_ii_RawData!A152</f>
        <v>45293</v>
      </c>
      <c r="B173" s="45">
        <f>$B$11*Q6_ii_RawData!B152+$B$12*Q6_ii_RawData!C152+$B$13*Q6_ii_RawData!D152+$B$14*Q6_ii_RawData!E152+$B$15*Q6_ii_RawData!F152+$B$16*Q6_ii_RawData!G152+$B$17*Q6_ii_RawData!H152+$B$18*Q6_ii_RawData!I152+$B$19*Q6_ii_RawData!J152+$B$20*Q6_ii_RawData!K152</f>
        <v>-1.2861000000000001E-2</v>
      </c>
      <c r="P173" s="20">
        <f t="shared" si="10"/>
        <v>8.0972000000000006E-3</v>
      </c>
      <c r="Q173" s="20">
        <f t="shared" si="11"/>
        <v>-3.8743025999999993E-2</v>
      </c>
      <c r="R173" s="20">
        <f t="shared" si="12"/>
        <v>-4.1908366666666669E-2</v>
      </c>
      <c r="S173" s="20">
        <v>168</v>
      </c>
    </row>
    <row r="174" spans="1:19" x14ac:dyDescent="0.15">
      <c r="A174" s="79">
        <f>Q6_ii_RawData!A153</f>
        <v>45294</v>
      </c>
      <c r="B174" s="45">
        <f>$B$11*Q6_ii_RawData!B153+$B$12*Q6_ii_RawData!C153+$B$13*Q6_ii_RawData!D153+$B$14*Q6_ii_RawData!E153+$B$15*Q6_ii_RawData!F153+$B$16*Q6_ii_RawData!G153+$B$17*Q6_ii_RawData!H153+$B$18*Q6_ii_RawData!I153+$B$19*Q6_ii_RawData!J153+$B$20*Q6_ii_RawData!K153</f>
        <v>1.2761500000000002E-2</v>
      </c>
      <c r="P174" s="20">
        <f t="shared" si="10"/>
        <v>8.3915999999999991E-3</v>
      </c>
      <c r="Q174" s="20">
        <f t="shared" si="11"/>
        <v>-3.8743025999999993E-2</v>
      </c>
      <c r="R174" s="20">
        <f t="shared" si="12"/>
        <v>-4.1908366666666669E-2</v>
      </c>
      <c r="S174" s="20">
        <v>169</v>
      </c>
    </row>
    <row r="175" spans="1:19" x14ac:dyDescent="0.15">
      <c r="A175" s="79">
        <f>Q6_ii_RawData!A154</f>
        <v>45295</v>
      </c>
      <c r="B175" s="45">
        <f>$B$11*Q6_ii_RawData!B154+$B$12*Q6_ii_RawData!C154+$B$13*Q6_ii_RawData!D154+$B$14*Q6_ii_RawData!E154+$B$15*Q6_ii_RawData!F154+$B$16*Q6_ii_RawData!G154+$B$17*Q6_ii_RawData!H154+$B$18*Q6_ii_RawData!I154+$B$19*Q6_ii_RawData!J154+$B$20*Q6_ii_RawData!K154</f>
        <v>-9.8400000000000657E-5</v>
      </c>
      <c r="P175" s="20">
        <f t="shared" si="10"/>
        <v>8.4642999999999993E-3</v>
      </c>
      <c r="Q175" s="20">
        <f t="shared" si="11"/>
        <v>-3.8743025999999993E-2</v>
      </c>
      <c r="R175" s="20">
        <f t="shared" si="12"/>
        <v>-4.1908366666666669E-2</v>
      </c>
      <c r="S175" s="20">
        <v>170</v>
      </c>
    </row>
    <row r="176" spans="1:19" x14ac:dyDescent="0.15">
      <c r="A176" s="79">
        <f>Q6_ii_RawData!A155</f>
        <v>45296</v>
      </c>
      <c r="B176" s="45">
        <f>$B$11*Q6_ii_RawData!B155+$B$12*Q6_ii_RawData!C155+$B$13*Q6_ii_RawData!D155+$B$14*Q6_ii_RawData!E155+$B$15*Q6_ii_RawData!F155+$B$16*Q6_ii_RawData!G155+$B$17*Q6_ii_RawData!H155+$B$18*Q6_ii_RawData!I155+$B$19*Q6_ii_RawData!J155+$B$20*Q6_ii_RawData!K155</f>
        <v>2.4398000000000003E-2</v>
      </c>
      <c r="P176" s="20">
        <f t="shared" si="10"/>
        <v>8.7958000000000012E-3</v>
      </c>
      <c r="Q176" s="20">
        <f t="shared" si="11"/>
        <v>-3.8743025999999993E-2</v>
      </c>
      <c r="R176" s="20">
        <f t="shared" si="12"/>
        <v>-4.1908366666666669E-2</v>
      </c>
      <c r="S176" s="20">
        <v>171</v>
      </c>
    </row>
    <row r="177" spans="1:19" x14ac:dyDescent="0.15">
      <c r="A177" s="79">
        <f>Q6_ii_RawData!A156</f>
        <v>45299</v>
      </c>
      <c r="B177" s="45">
        <f>$B$11*Q6_ii_RawData!B156+$B$12*Q6_ii_RawData!C156+$B$13*Q6_ii_RawData!D156+$B$14*Q6_ii_RawData!E156+$B$15*Q6_ii_RawData!F156+$B$16*Q6_ii_RawData!G156+$B$17*Q6_ii_RawData!H156+$B$18*Q6_ii_RawData!I156+$B$19*Q6_ii_RawData!J156+$B$20*Q6_ii_RawData!K156</f>
        <v>-1.6560600000000002E-2</v>
      </c>
      <c r="P177" s="20">
        <f t="shared" si="10"/>
        <v>8.8643999999999997E-3</v>
      </c>
      <c r="Q177" s="20">
        <f t="shared" si="11"/>
        <v>-3.8743025999999993E-2</v>
      </c>
      <c r="R177" s="20">
        <f t="shared" si="12"/>
        <v>-4.1908366666666669E-2</v>
      </c>
      <c r="S177" s="20">
        <v>172</v>
      </c>
    </row>
    <row r="178" spans="1:19" x14ac:dyDescent="0.15">
      <c r="A178" s="79">
        <f>Q6_ii_RawData!A157</f>
        <v>45300</v>
      </c>
      <c r="B178" s="45">
        <f>$B$11*Q6_ii_RawData!B157+$B$12*Q6_ii_RawData!C157+$B$13*Q6_ii_RawData!D157+$B$14*Q6_ii_RawData!E157+$B$15*Q6_ii_RawData!F157+$B$16*Q6_ii_RawData!G157+$B$17*Q6_ii_RawData!H157+$B$18*Q6_ii_RawData!I157+$B$19*Q6_ii_RawData!J157+$B$20*Q6_ii_RawData!K157</f>
        <v>6.2416999999999993E-3</v>
      </c>
      <c r="P178" s="20">
        <f t="shared" si="10"/>
        <v>9.0955000000000012E-3</v>
      </c>
      <c r="Q178" s="20">
        <f t="shared" si="11"/>
        <v>-3.8743025999999993E-2</v>
      </c>
      <c r="R178" s="20">
        <f t="shared" si="12"/>
        <v>-4.1908366666666669E-2</v>
      </c>
      <c r="S178" s="20">
        <v>173</v>
      </c>
    </row>
    <row r="179" spans="1:19" x14ac:dyDescent="0.15">
      <c r="A179" s="79">
        <f>Q6_ii_RawData!A158</f>
        <v>45301</v>
      </c>
      <c r="B179" s="45">
        <f>$B$11*Q6_ii_RawData!B158+$B$12*Q6_ii_RawData!C158+$B$13*Q6_ii_RawData!D158+$B$14*Q6_ii_RawData!E158+$B$15*Q6_ii_RawData!F158+$B$16*Q6_ii_RawData!G158+$B$17*Q6_ii_RawData!H158+$B$18*Q6_ii_RawData!I158+$B$19*Q6_ii_RawData!J158+$B$20*Q6_ii_RawData!K158</f>
        <v>-2.00673E-2</v>
      </c>
      <c r="P179" s="20">
        <f t="shared" si="10"/>
        <v>9.2857000000000009E-3</v>
      </c>
      <c r="Q179" s="20">
        <f t="shared" si="11"/>
        <v>-3.8743025999999993E-2</v>
      </c>
      <c r="R179" s="20">
        <f t="shared" si="12"/>
        <v>-4.1908366666666669E-2</v>
      </c>
      <c r="S179" s="20">
        <v>174</v>
      </c>
    </row>
    <row r="180" spans="1:19" x14ac:dyDescent="0.15">
      <c r="A180" s="79">
        <f>Q6_ii_RawData!A159</f>
        <v>45302</v>
      </c>
      <c r="B180" s="45">
        <f>$B$11*Q6_ii_RawData!B159+$B$12*Q6_ii_RawData!C159+$B$13*Q6_ii_RawData!D159+$B$14*Q6_ii_RawData!E159+$B$15*Q6_ii_RawData!F159+$B$16*Q6_ii_RawData!G159+$B$17*Q6_ii_RawData!H159+$B$18*Q6_ii_RawData!I159+$B$19*Q6_ii_RawData!J159+$B$20*Q6_ii_RawData!K159</f>
        <v>-2.7999299999999998E-2</v>
      </c>
      <c r="P180" s="20">
        <f t="shared" si="10"/>
        <v>9.5254999999999975E-3</v>
      </c>
      <c r="Q180" s="20">
        <f t="shared" si="11"/>
        <v>-3.8743025999999993E-2</v>
      </c>
      <c r="R180" s="20">
        <f t="shared" si="12"/>
        <v>-4.1908366666666669E-2</v>
      </c>
      <c r="S180" s="20">
        <v>175</v>
      </c>
    </row>
    <row r="181" spans="1:19" x14ac:dyDescent="0.15">
      <c r="A181" s="79">
        <f>Q6_ii_RawData!A160</f>
        <v>45303</v>
      </c>
      <c r="B181" s="45">
        <f>$B$11*Q6_ii_RawData!B160+$B$12*Q6_ii_RawData!C160+$B$13*Q6_ii_RawData!D160+$B$14*Q6_ii_RawData!E160+$B$15*Q6_ii_RawData!F160+$B$16*Q6_ii_RawData!G160+$B$17*Q6_ii_RawData!H160+$B$18*Q6_ii_RawData!I160+$B$19*Q6_ii_RawData!J160+$B$20*Q6_ii_RawData!K160</f>
        <v>-2.5911800000000002E-2</v>
      </c>
      <c r="P181" s="20">
        <f t="shared" si="10"/>
        <v>9.9892999999999996E-3</v>
      </c>
      <c r="Q181" s="20">
        <f t="shared" si="11"/>
        <v>-3.8743025999999993E-2</v>
      </c>
      <c r="R181" s="20">
        <f t="shared" si="12"/>
        <v>-4.1908366666666669E-2</v>
      </c>
      <c r="S181" s="20">
        <v>176</v>
      </c>
    </row>
    <row r="182" spans="1:19" x14ac:dyDescent="0.15">
      <c r="A182" s="79">
        <f>Q6_ii_RawData!A161</f>
        <v>45307</v>
      </c>
      <c r="B182" s="45">
        <f>$B$11*Q6_ii_RawData!B161+$B$12*Q6_ii_RawData!C161+$B$13*Q6_ii_RawData!D161+$B$14*Q6_ii_RawData!E161+$B$15*Q6_ii_RawData!F161+$B$16*Q6_ii_RawData!G161+$B$17*Q6_ii_RawData!H161+$B$18*Q6_ii_RawData!I161+$B$19*Q6_ii_RawData!J161+$B$20*Q6_ii_RawData!K161</f>
        <v>-1.6782100000000001E-2</v>
      </c>
      <c r="P182" s="20">
        <f t="shared" si="10"/>
        <v>1.0195199999999998E-2</v>
      </c>
      <c r="Q182" s="20">
        <f t="shared" si="11"/>
        <v>-3.8743025999999993E-2</v>
      </c>
      <c r="R182" s="20">
        <f t="shared" si="12"/>
        <v>-4.1908366666666669E-2</v>
      </c>
      <c r="S182" s="20">
        <v>177</v>
      </c>
    </row>
    <row r="183" spans="1:19" x14ac:dyDescent="0.15">
      <c r="A183" s="79">
        <f>Q6_ii_RawData!A162</f>
        <v>45308</v>
      </c>
      <c r="B183" s="45">
        <f>$B$11*Q6_ii_RawData!B162+$B$12*Q6_ii_RawData!C162+$B$13*Q6_ii_RawData!D162+$B$14*Q6_ii_RawData!E162+$B$15*Q6_ii_RawData!F162+$B$16*Q6_ii_RawData!G162+$B$17*Q6_ii_RawData!H162+$B$18*Q6_ii_RawData!I162+$B$19*Q6_ii_RawData!J162+$B$20*Q6_ii_RawData!K162</f>
        <v>5.2907000000000006E-3</v>
      </c>
      <c r="P183" s="20">
        <f t="shared" si="10"/>
        <v>1.0766800000000003E-2</v>
      </c>
      <c r="Q183" s="20">
        <f t="shared" si="11"/>
        <v>-3.8743025999999993E-2</v>
      </c>
      <c r="R183" s="20">
        <f t="shared" si="12"/>
        <v>-4.1908366666666669E-2</v>
      </c>
      <c r="S183" s="20">
        <v>178</v>
      </c>
    </row>
    <row r="184" spans="1:19" x14ac:dyDescent="0.15">
      <c r="A184" s="79">
        <f>Q6_ii_RawData!A163</f>
        <v>45309</v>
      </c>
      <c r="B184" s="45">
        <f>$B$11*Q6_ii_RawData!B163+$B$12*Q6_ii_RawData!C163+$B$13*Q6_ii_RawData!D163+$B$14*Q6_ii_RawData!E163+$B$15*Q6_ii_RawData!F163+$B$16*Q6_ii_RawData!G163+$B$17*Q6_ii_RawData!H163+$B$18*Q6_ii_RawData!I163+$B$19*Q6_ii_RawData!J163+$B$20*Q6_ii_RawData!K163</f>
        <v>2.2740000000000004E-3</v>
      </c>
      <c r="P184" s="20">
        <f t="shared" si="10"/>
        <v>1.09745E-2</v>
      </c>
      <c r="Q184" s="20">
        <f t="shared" si="11"/>
        <v>-3.8743025999999993E-2</v>
      </c>
      <c r="R184" s="20">
        <f t="shared" si="12"/>
        <v>-4.1908366666666669E-2</v>
      </c>
      <c r="S184" s="20">
        <v>179</v>
      </c>
    </row>
    <row r="185" spans="1:19" x14ac:dyDescent="0.15">
      <c r="A185" s="79">
        <f>Q6_ii_RawData!A164</f>
        <v>45310</v>
      </c>
      <c r="B185" s="45">
        <f>$B$11*Q6_ii_RawData!B164+$B$12*Q6_ii_RawData!C164+$B$13*Q6_ii_RawData!D164+$B$14*Q6_ii_RawData!E164+$B$15*Q6_ii_RawData!F164+$B$16*Q6_ii_RawData!G164+$B$17*Q6_ii_RawData!H164+$B$18*Q6_ii_RawData!I164+$B$19*Q6_ii_RawData!J164+$B$20*Q6_ii_RawData!K164</f>
        <v>1.5068999999999994E-3</v>
      </c>
      <c r="P185" s="20">
        <f t="shared" si="10"/>
        <v>1.1087099999999999E-2</v>
      </c>
      <c r="Q185" s="20">
        <f t="shared" si="11"/>
        <v>-3.8743025999999993E-2</v>
      </c>
      <c r="R185" s="20">
        <f t="shared" si="12"/>
        <v>-4.1908366666666669E-2</v>
      </c>
      <c r="S185" s="20">
        <v>180</v>
      </c>
    </row>
    <row r="186" spans="1:19" x14ac:dyDescent="0.15">
      <c r="A186" s="79">
        <f>Q6_ii_RawData!A165</f>
        <v>45313</v>
      </c>
      <c r="B186" s="45">
        <f>$B$11*Q6_ii_RawData!B165+$B$12*Q6_ii_RawData!C165+$B$13*Q6_ii_RawData!D165+$B$14*Q6_ii_RawData!E165+$B$15*Q6_ii_RawData!F165+$B$16*Q6_ii_RawData!G165+$B$17*Q6_ii_RawData!H165+$B$18*Q6_ii_RawData!I165+$B$19*Q6_ii_RawData!J165+$B$20*Q6_ii_RawData!K165</f>
        <v>8.9220000000000022E-4</v>
      </c>
      <c r="P186" s="20">
        <f t="shared" si="10"/>
        <v>1.16145E-2</v>
      </c>
      <c r="Q186" s="20">
        <f t="shared" si="11"/>
        <v>-3.8743025999999993E-2</v>
      </c>
      <c r="R186" s="20">
        <f t="shared" si="12"/>
        <v>-4.1908366666666669E-2</v>
      </c>
      <c r="S186" s="20">
        <v>181</v>
      </c>
    </row>
    <row r="187" spans="1:19" x14ac:dyDescent="0.15">
      <c r="A187" s="79">
        <f>Q6_ii_RawData!A166</f>
        <v>45314</v>
      </c>
      <c r="B187" s="45">
        <f>$B$11*Q6_ii_RawData!B166+$B$12*Q6_ii_RawData!C166+$B$13*Q6_ii_RawData!D166+$B$14*Q6_ii_RawData!E166+$B$15*Q6_ii_RawData!F166+$B$16*Q6_ii_RawData!G166+$B$17*Q6_ii_RawData!H166+$B$18*Q6_ii_RawData!I166+$B$19*Q6_ii_RawData!J166+$B$20*Q6_ii_RawData!K166</f>
        <v>9.0955000000000012E-3</v>
      </c>
      <c r="P187" s="20">
        <f t="shared" si="10"/>
        <v>1.19113E-2</v>
      </c>
      <c r="Q187" s="20">
        <f t="shared" si="11"/>
        <v>-3.8743025999999993E-2</v>
      </c>
      <c r="R187" s="20">
        <f t="shared" si="12"/>
        <v>-4.1908366666666669E-2</v>
      </c>
      <c r="S187" s="20">
        <v>182</v>
      </c>
    </row>
    <row r="188" spans="1:19" x14ac:dyDescent="0.15">
      <c r="A188" s="79">
        <f>Q6_ii_RawData!A167</f>
        <v>45315</v>
      </c>
      <c r="B188" s="45">
        <f>$B$11*Q6_ii_RawData!B167+$B$12*Q6_ii_RawData!C167+$B$13*Q6_ii_RawData!D167+$B$14*Q6_ii_RawData!E167+$B$15*Q6_ii_RawData!F167+$B$16*Q6_ii_RawData!G167+$B$17*Q6_ii_RawData!H167+$B$18*Q6_ii_RawData!I167+$B$19*Q6_ii_RawData!J167+$B$20*Q6_ii_RawData!K167</f>
        <v>2.0911900000000004E-2</v>
      </c>
      <c r="P188" s="20">
        <f t="shared" si="10"/>
        <v>1.2017900000000001E-2</v>
      </c>
      <c r="Q188" s="20">
        <f t="shared" si="11"/>
        <v>-3.8743025999999993E-2</v>
      </c>
      <c r="R188" s="20">
        <f t="shared" si="12"/>
        <v>-4.1908366666666669E-2</v>
      </c>
      <c r="S188" s="20">
        <v>183</v>
      </c>
    </row>
    <row r="189" spans="1:19" x14ac:dyDescent="0.15">
      <c r="A189" s="79">
        <f>Q6_ii_RawData!A168</f>
        <v>45316</v>
      </c>
      <c r="B189" s="45">
        <f>$B$11*Q6_ii_RawData!B168+$B$12*Q6_ii_RawData!C168+$B$13*Q6_ii_RawData!D168+$B$14*Q6_ii_RawData!E168+$B$15*Q6_ii_RawData!F168+$B$16*Q6_ii_RawData!G168+$B$17*Q6_ii_RawData!H168+$B$18*Q6_ii_RawData!I168+$B$19*Q6_ii_RawData!J168+$B$20*Q6_ii_RawData!K168</f>
        <v>7.9287999999999997E-3</v>
      </c>
      <c r="P189" s="20">
        <f t="shared" si="10"/>
        <v>1.2100999999999999E-2</v>
      </c>
      <c r="Q189" s="20">
        <f t="shared" si="11"/>
        <v>-3.8743025999999993E-2</v>
      </c>
      <c r="R189" s="20">
        <f t="shared" si="12"/>
        <v>-4.1908366666666669E-2</v>
      </c>
      <c r="S189" s="20">
        <v>184</v>
      </c>
    </row>
    <row r="190" spans="1:19" x14ac:dyDescent="0.15">
      <c r="A190" s="79">
        <f>Q6_ii_RawData!A169</f>
        <v>45317</v>
      </c>
      <c r="B190" s="45">
        <f>$B$11*Q6_ii_RawData!B169+$B$12*Q6_ii_RawData!C169+$B$13*Q6_ii_RawData!D169+$B$14*Q6_ii_RawData!E169+$B$15*Q6_ii_RawData!F169+$B$16*Q6_ii_RawData!G169+$B$17*Q6_ii_RawData!H169+$B$18*Q6_ii_RawData!I169+$B$19*Q6_ii_RawData!J169+$B$20*Q6_ii_RawData!K169</f>
        <v>2.3661100000000001E-2</v>
      </c>
      <c r="P190" s="20">
        <f t="shared" si="10"/>
        <v>1.2204799999999998E-2</v>
      </c>
      <c r="Q190" s="20">
        <f t="shared" si="11"/>
        <v>-3.8743025999999993E-2</v>
      </c>
      <c r="R190" s="20">
        <f t="shared" si="12"/>
        <v>-4.1908366666666669E-2</v>
      </c>
      <c r="S190" s="20">
        <v>185</v>
      </c>
    </row>
    <row r="191" spans="1:19" x14ac:dyDescent="0.15">
      <c r="A191" s="79">
        <f>Q6_ii_RawData!A170</f>
        <v>45320</v>
      </c>
      <c r="B191" s="45">
        <f>$B$11*Q6_ii_RawData!B170+$B$12*Q6_ii_RawData!C170+$B$13*Q6_ii_RawData!D170+$B$14*Q6_ii_RawData!E170+$B$15*Q6_ii_RawData!F170+$B$16*Q6_ii_RawData!G170+$B$17*Q6_ii_RawData!H170+$B$18*Q6_ii_RawData!I170+$B$19*Q6_ii_RawData!J170+$B$20*Q6_ii_RawData!K170</f>
        <v>-2.1846899999999999E-2</v>
      </c>
      <c r="P191" s="20">
        <f t="shared" si="10"/>
        <v>1.2255999999999998E-2</v>
      </c>
      <c r="Q191" s="20">
        <f t="shared" si="11"/>
        <v>-3.8743025999999993E-2</v>
      </c>
      <c r="R191" s="20">
        <f t="shared" si="12"/>
        <v>-4.1908366666666669E-2</v>
      </c>
      <c r="S191" s="20">
        <v>186</v>
      </c>
    </row>
    <row r="192" spans="1:19" x14ac:dyDescent="0.15">
      <c r="A192" s="79">
        <f>Q6_ii_RawData!A171</f>
        <v>45321</v>
      </c>
      <c r="B192" s="45">
        <f>$B$11*Q6_ii_RawData!B171+$B$12*Q6_ii_RawData!C171+$B$13*Q6_ii_RawData!D171+$B$14*Q6_ii_RawData!E171+$B$15*Q6_ii_RawData!F171+$B$16*Q6_ii_RawData!G171+$B$17*Q6_ii_RawData!H171+$B$18*Q6_ii_RawData!I171+$B$19*Q6_ii_RawData!J171+$B$20*Q6_ii_RawData!K171</f>
        <v>-2.3482700000000002E-2</v>
      </c>
      <c r="P192" s="20">
        <f t="shared" si="10"/>
        <v>1.2474399999999998E-2</v>
      </c>
      <c r="Q192" s="20">
        <f t="shared" si="11"/>
        <v>-3.8743025999999993E-2</v>
      </c>
      <c r="R192" s="20">
        <f t="shared" si="12"/>
        <v>-4.1908366666666669E-2</v>
      </c>
      <c r="S192" s="20">
        <v>187</v>
      </c>
    </row>
    <row r="193" spans="1:19" x14ac:dyDescent="0.15">
      <c r="A193" s="79">
        <f>Q6_ii_RawData!A172</f>
        <v>45322</v>
      </c>
      <c r="B193" s="45">
        <f>$B$11*Q6_ii_RawData!B172+$B$12*Q6_ii_RawData!C172+$B$13*Q6_ii_RawData!D172+$B$14*Q6_ii_RawData!E172+$B$15*Q6_ii_RawData!F172+$B$16*Q6_ii_RawData!G172+$B$17*Q6_ii_RawData!H172+$B$18*Q6_ii_RawData!I172+$B$19*Q6_ii_RawData!J172+$B$20*Q6_ii_RawData!K172</f>
        <v>9.5254999999999975E-3</v>
      </c>
      <c r="P193" s="20">
        <f t="shared" si="10"/>
        <v>1.2740499999999998E-2</v>
      </c>
      <c r="Q193" s="20">
        <f t="shared" si="11"/>
        <v>-3.8743025999999993E-2</v>
      </c>
      <c r="R193" s="20">
        <f t="shared" si="12"/>
        <v>-4.1908366666666669E-2</v>
      </c>
      <c r="S193" s="20">
        <v>188</v>
      </c>
    </row>
    <row r="194" spans="1:19" x14ac:dyDescent="0.15">
      <c r="A194" s="79">
        <f>Q6_ii_RawData!A173</f>
        <v>45323</v>
      </c>
      <c r="B194" s="45">
        <f>$B$11*Q6_ii_RawData!B173+$B$12*Q6_ii_RawData!C173+$B$13*Q6_ii_RawData!D173+$B$14*Q6_ii_RawData!E173+$B$15*Q6_ii_RawData!F173+$B$16*Q6_ii_RawData!G173+$B$17*Q6_ii_RawData!H173+$B$18*Q6_ii_RawData!I173+$B$19*Q6_ii_RawData!J173+$B$20*Q6_ii_RawData!K173</f>
        <v>9.2857000000000009E-3</v>
      </c>
      <c r="P194" s="20">
        <f t="shared" si="10"/>
        <v>1.2761500000000002E-2</v>
      </c>
      <c r="Q194" s="20">
        <f t="shared" si="11"/>
        <v>-3.8743025999999993E-2</v>
      </c>
      <c r="R194" s="20">
        <f t="shared" si="12"/>
        <v>-4.1908366666666669E-2</v>
      </c>
      <c r="S194" s="20">
        <v>189</v>
      </c>
    </row>
    <row r="195" spans="1:19" x14ac:dyDescent="0.15">
      <c r="A195" s="79">
        <f>Q6_ii_RawData!A174</f>
        <v>45324</v>
      </c>
      <c r="B195" s="45">
        <f>$B$11*Q6_ii_RawData!B174+$B$12*Q6_ii_RawData!C174+$B$13*Q6_ii_RawData!D174+$B$14*Q6_ii_RawData!E174+$B$15*Q6_ii_RawData!F174+$B$16*Q6_ii_RawData!G174+$B$17*Q6_ii_RawData!H174+$B$18*Q6_ii_RawData!I174+$B$19*Q6_ii_RawData!J174+$B$20*Q6_ii_RawData!K174</f>
        <v>-2.1273000000000007E-2</v>
      </c>
      <c r="P195" s="20">
        <f t="shared" si="10"/>
        <v>1.2962399999999999E-2</v>
      </c>
      <c r="Q195" s="20">
        <f t="shared" si="11"/>
        <v>-3.8743025999999993E-2</v>
      </c>
      <c r="R195" s="20">
        <f t="shared" si="12"/>
        <v>-4.1908366666666669E-2</v>
      </c>
      <c r="S195" s="20">
        <v>190</v>
      </c>
    </row>
    <row r="196" spans="1:19" x14ac:dyDescent="0.15">
      <c r="A196" s="79">
        <f>Q6_ii_RawData!A175</f>
        <v>45327</v>
      </c>
      <c r="B196" s="45">
        <f>$B$11*Q6_ii_RawData!B175+$B$12*Q6_ii_RawData!C175+$B$13*Q6_ii_RawData!D175+$B$14*Q6_ii_RawData!E175+$B$15*Q6_ii_RawData!F175+$B$16*Q6_ii_RawData!G175+$B$17*Q6_ii_RawData!H175+$B$18*Q6_ii_RawData!I175+$B$19*Q6_ii_RawData!J175+$B$20*Q6_ii_RawData!K175</f>
        <v>1.8527099999999998E-2</v>
      </c>
      <c r="P196" s="20">
        <f t="shared" si="10"/>
        <v>1.3277799999999998E-2</v>
      </c>
      <c r="Q196" s="20">
        <f t="shared" si="11"/>
        <v>-3.8743025999999993E-2</v>
      </c>
      <c r="R196" s="20">
        <f t="shared" si="12"/>
        <v>-4.1908366666666669E-2</v>
      </c>
      <c r="S196" s="20">
        <v>191</v>
      </c>
    </row>
    <row r="197" spans="1:19" x14ac:dyDescent="0.15">
      <c r="A197" s="79">
        <f>Q6_ii_RawData!A176</f>
        <v>45328</v>
      </c>
      <c r="B197" s="45">
        <f>$B$11*Q6_ii_RawData!B176+$B$12*Q6_ii_RawData!C176+$B$13*Q6_ii_RawData!D176+$B$14*Q6_ii_RawData!E176+$B$15*Q6_ii_RawData!F176+$B$16*Q6_ii_RawData!G176+$B$17*Q6_ii_RawData!H176+$B$18*Q6_ii_RawData!I176+$B$19*Q6_ii_RawData!J176+$B$20*Q6_ii_RawData!K176</f>
        <v>-4.0233899999999996E-2</v>
      </c>
      <c r="P197" s="20">
        <f t="shared" si="10"/>
        <v>1.3575000000000002E-2</v>
      </c>
      <c r="Q197" s="20">
        <f t="shared" si="11"/>
        <v>-3.8743025999999993E-2</v>
      </c>
      <c r="R197" s="20">
        <f t="shared" si="12"/>
        <v>-4.1908366666666669E-2</v>
      </c>
      <c r="S197" s="20">
        <v>192</v>
      </c>
    </row>
    <row r="198" spans="1:19" x14ac:dyDescent="0.15">
      <c r="A198" s="79">
        <f>Q6_ii_RawData!A177</f>
        <v>45329</v>
      </c>
      <c r="B198" s="45">
        <f>$B$11*Q6_ii_RawData!B177+$B$12*Q6_ii_RawData!C177+$B$13*Q6_ii_RawData!D177+$B$14*Q6_ii_RawData!E177+$B$15*Q6_ii_RawData!F177+$B$16*Q6_ii_RawData!G177+$B$17*Q6_ii_RawData!H177+$B$18*Q6_ii_RawData!I177+$B$19*Q6_ii_RawData!J177+$B$20*Q6_ii_RawData!K177</f>
        <v>2.7295200000000006E-2</v>
      </c>
      <c r="P198" s="20">
        <f t="shared" ref="P198:P257" si="13">SMALL($B$23:$B$274,ROW()-5)</f>
        <v>1.3631300000000002E-2</v>
      </c>
      <c r="Q198" s="20">
        <f t="shared" ref="Q198:Q257" si="14">-$E$26/$B$6</f>
        <v>-3.8743025999999993E-2</v>
      </c>
      <c r="R198" s="20">
        <f t="shared" ref="R198:R257" si="15">-$E$27/$B$6</f>
        <v>-4.1908366666666669E-2</v>
      </c>
      <c r="S198" s="20">
        <v>193</v>
      </c>
    </row>
    <row r="199" spans="1:19" x14ac:dyDescent="0.15">
      <c r="A199" s="79">
        <f>Q6_ii_RawData!A178</f>
        <v>45330</v>
      </c>
      <c r="B199" s="45">
        <f>$B$11*Q6_ii_RawData!B178+$B$12*Q6_ii_RawData!C178+$B$13*Q6_ii_RawData!D178+$B$14*Q6_ii_RawData!E178+$B$15*Q6_ii_RawData!F178+$B$16*Q6_ii_RawData!G178+$B$17*Q6_ii_RawData!H178+$B$18*Q6_ii_RawData!I178+$B$19*Q6_ii_RawData!J178+$B$20*Q6_ii_RawData!K178</f>
        <v>1.3575000000000002E-2</v>
      </c>
      <c r="P199" s="20">
        <f t="shared" si="13"/>
        <v>1.3811799999999999E-2</v>
      </c>
      <c r="Q199" s="20">
        <f t="shared" si="14"/>
        <v>-3.8743025999999993E-2</v>
      </c>
      <c r="R199" s="20">
        <f t="shared" si="15"/>
        <v>-4.1908366666666669E-2</v>
      </c>
      <c r="S199" s="20">
        <v>194</v>
      </c>
    </row>
    <row r="200" spans="1:19" x14ac:dyDescent="0.15">
      <c r="A200" s="79">
        <f>Q6_ii_RawData!A179</f>
        <v>45331</v>
      </c>
      <c r="B200" s="45">
        <f>$B$11*Q6_ii_RawData!B179+$B$12*Q6_ii_RawData!C179+$B$13*Q6_ii_RawData!D179+$B$14*Q6_ii_RawData!E179+$B$15*Q6_ii_RawData!F179+$B$16*Q6_ii_RawData!G179+$B$17*Q6_ii_RawData!H179+$B$18*Q6_ii_RawData!I179+$B$19*Q6_ii_RawData!J179+$B$20*Q6_ii_RawData!K179</f>
        <v>2.5010400000000002E-2</v>
      </c>
      <c r="P200" s="20">
        <f t="shared" si="13"/>
        <v>1.4523300000000001E-2</v>
      </c>
      <c r="Q200" s="20">
        <f t="shared" si="14"/>
        <v>-3.8743025999999993E-2</v>
      </c>
      <c r="R200" s="20">
        <f t="shared" si="15"/>
        <v>-4.1908366666666669E-2</v>
      </c>
      <c r="S200" s="20">
        <v>195</v>
      </c>
    </row>
    <row r="201" spans="1:19" x14ac:dyDescent="0.15">
      <c r="A201" s="79">
        <f>Q6_ii_RawData!A180</f>
        <v>45334</v>
      </c>
      <c r="B201" s="45">
        <f>$B$11*Q6_ii_RawData!B180+$B$12*Q6_ii_RawData!C180+$B$13*Q6_ii_RawData!D180+$B$14*Q6_ii_RawData!E180+$B$15*Q6_ii_RawData!F180+$B$16*Q6_ii_RawData!G180+$B$17*Q6_ii_RawData!H180+$B$18*Q6_ii_RawData!I180+$B$19*Q6_ii_RawData!J180+$B$20*Q6_ii_RawData!K180</f>
        <v>-3.1738000000000009E-2</v>
      </c>
      <c r="P201" s="20">
        <f t="shared" si="13"/>
        <v>1.4654500000000001E-2</v>
      </c>
      <c r="Q201" s="20">
        <f t="shared" si="14"/>
        <v>-3.8743025999999993E-2</v>
      </c>
      <c r="R201" s="20">
        <f t="shared" si="15"/>
        <v>-4.1908366666666669E-2</v>
      </c>
      <c r="S201" s="20">
        <v>196</v>
      </c>
    </row>
    <row r="202" spans="1:19" x14ac:dyDescent="0.15">
      <c r="A202" s="79">
        <f>Q6_ii_RawData!A181</f>
        <v>45335</v>
      </c>
      <c r="B202" s="45">
        <f>$B$11*Q6_ii_RawData!B181+$B$12*Q6_ii_RawData!C181+$B$13*Q6_ii_RawData!D181+$B$14*Q6_ii_RawData!E181+$B$15*Q6_ii_RawData!F181+$B$16*Q6_ii_RawData!G181+$B$17*Q6_ii_RawData!H181+$B$18*Q6_ii_RawData!I181+$B$19*Q6_ii_RawData!J181+$B$20*Q6_ii_RawData!K181</f>
        <v>3.6161899999999997E-2</v>
      </c>
      <c r="P202" s="20">
        <f t="shared" si="13"/>
        <v>1.4902200000000001E-2</v>
      </c>
      <c r="Q202" s="20">
        <f t="shared" si="14"/>
        <v>-3.8743025999999993E-2</v>
      </c>
      <c r="R202" s="20">
        <f t="shared" si="15"/>
        <v>-4.1908366666666669E-2</v>
      </c>
      <c r="S202" s="20">
        <v>197</v>
      </c>
    </row>
    <row r="203" spans="1:19" x14ac:dyDescent="0.15">
      <c r="A203" s="79">
        <f>Q6_ii_RawData!A182</f>
        <v>45336</v>
      </c>
      <c r="B203" s="45">
        <f>$B$11*Q6_ii_RawData!B182+$B$12*Q6_ii_RawData!C182+$B$13*Q6_ii_RawData!D182+$B$14*Q6_ii_RawData!E182+$B$15*Q6_ii_RawData!F182+$B$16*Q6_ii_RawData!G182+$B$17*Q6_ii_RawData!H182+$B$18*Q6_ii_RawData!I182+$B$19*Q6_ii_RawData!J182+$B$20*Q6_ii_RawData!K182</f>
        <v>-8.2660000000000025E-3</v>
      </c>
      <c r="P203" s="20">
        <f t="shared" si="13"/>
        <v>1.5059200000000002E-2</v>
      </c>
      <c r="Q203" s="20">
        <f t="shared" si="14"/>
        <v>-3.8743025999999993E-2</v>
      </c>
      <c r="R203" s="20">
        <f t="shared" si="15"/>
        <v>-4.1908366666666669E-2</v>
      </c>
      <c r="S203" s="20">
        <v>198</v>
      </c>
    </row>
    <row r="204" spans="1:19" x14ac:dyDescent="0.15">
      <c r="A204" s="79">
        <f>Q6_ii_RawData!A183</f>
        <v>45337</v>
      </c>
      <c r="B204" s="45">
        <f>$B$11*Q6_ii_RawData!B183+$B$12*Q6_ii_RawData!C183+$B$13*Q6_ii_RawData!D183+$B$14*Q6_ii_RawData!E183+$B$15*Q6_ii_RawData!F183+$B$16*Q6_ii_RawData!G183+$B$17*Q6_ii_RawData!H183+$B$18*Q6_ii_RawData!I183+$B$19*Q6_ii_RawData!J183+$B$20*Q6_ii_RawData!K183</f>
        <v>-1.2845000000000001E-2</v>
      </c>
      <c r="P204" s="20">
        <f t="shared" si="13"/>
        <v>1.6501500000000002E-2</v>
      </c>
      <c r="Q204" s="20">
        <f t="shared" si="14"/>
        <v>-3.8743025999999993E-2</v>
      </c>
      <c r="R204" s="20">
        <f t="shared" si="15"/>
        <v>-4.1908366666666669E-2</v>
      </c>
      <c r="S204" s="20">
        <v>199</v>
      </c>
    </row>
    <row r="205" spans="1:19" x14ac:dyDescent="0.15">
      <c r="A205" s="79">
        <f>Q6_ii_RawData!A184</f>
        <v>45338</v>
      </c>
      <c r="B205" s="45">
        <f>$B$11*Q6_ii_RawData!B184+$B$12*Q6_ii_RawData!C184+$B$13*Q6_ii_RawData!D184+$B$14*Q6_ii_RawData!E184+$B$15*Q6_ii_RawData!F184+$B$16*Q6_ii_RawData!G184+$B$17*Q6_ii_RawData!H184+$B$18*Q6_ii_RawData!I184+$B$19*Q6_ii_RawData!J184+$B$20*Q6_ii_RawData!K184</f>
        <v>-3.41179E-2</v>
      </c>
      <c r="P205" s="20">
        <f t="shared" si="13"/>
        <v>1.6640599999999998E-2</v>
      </c>
      <c r="Q205" s="20">
        <f t="shared" si="14"/>
        <v>-3.8743025999999993E-2</v>
      </c>
      <c r="R205" s="20">
        <f t="shared" si="15"/>
        <v>-4.1908366666666669E-2</v>
      </c>
      <c r="S205" s="20">
        <v>200</v>
      </c>
    </row>
    <row r="206" spans="1:19" x14ac:dyDescent="0.15">
      <c r="A206" s="79">
        <f>Q6_ii_RawData!A185</f>
        <v>45342</v>
      </c>
      <c r="B206" s="45">
        <f>$B$11*Q6_ii_RawData!B185+$B$12*Q6_ii_RawData!C185+$B$13*Q6_ii_RawData!D185+$B$14*Q6_ii_RawData!E185+$B$15*Q6_ii_RawData!F185+$B$16*Q6_ii_RawData!G185+$B$17*Q6_ii_RawData!H185+$B$18*Q6_ii_RawData!I185+$B$19*Q6_ii_RawData!J185+$B$20*Q6_ii_RawData!K185</f>
        <v>-9.864000000000003E-3</v>
      </c>
      <c r="P206" s="20">
        <f t="shared" si="13"/>
        <v>1.6969900000000003E-2</v>
      </c>
      <c r="Q206" s="20">
        <f t="shared" si="14"/>
        <v>-3.8743025999999993E-2</v>
      </c>
      <c r="R206" s="20">
        <f t="shared" si="15"/>
        <v>-4.1908366666666669E-2</v>
      </c>
      <c r="S206" s="20">
        <v>201</v>
      </c>
    </row>
    <row r="207" spans="1:19" x14ac:dyDescent="0.15">
      <c r="A207" s="79">
        <f>Q6_ii_RawData!A186</f>
        <v>45343</v>
      </c>
      <c r="B207" s="45">
        <f>$B$11*Q6_ii_RawData!B186+$B$12*Q6_ii_RawData!C186+$B$13*Q6_ii_RawData!D186+$B$14*Q6_ii_RawData!E186+$B$15*Q6_ii_RawData!F186+$B$16*Q6_ii_RawData!G186+$B$17*Q6_ii_RawData!H186+$B$18*Q6_ii_RawData!I186+$B$19*Q6_ii_RawData!J186+$B$20*Q6_ii_RawData!K186</f>
        <v>3.0691599999999999E-2</v>
      </c>
      <c r="P207" s="20">
        <f t="shared" si="13"/>
        <v>1.7075000000000003E-2</v>
      </c>
      <c r="Q207" s="20">
        <f t="shared" si="14"/>
        <v>-3.8743025999999993E-2</v>
      </c>
      <c r="R207" s="20">
        <f t="shared" si="15"/>
        <v>-4.1908366666666669E-2</v>
      </c>
      <c r="S207" s="20">
        <v>202</v>
      </c>
    </row>
    <row r="208" spans="1:19" x14ac:dyDescent="0.15">
      <c r="A208" s="79">
        <f>Q6_ii_RawData!A187</f>
        <v>45344</v>
      </c>
      <c r="B208" s="45">
        <f>$B$11*Q6_ii_RawData!B187+$B$12*Q6_ii_RawData!C187+$B$13*Q6_ii_RawData!D187+$B$14*Q6_ii_RawData!E187+$B$15*Q6_ii_RawData!F187+$B$16*Q6_ii_RawData!G187+$B$17*Q6_ii_RawData!H187+$B$18*Q6_ii_RawData!I187+$B$19*Q6_ii_RawData!J187+$B$20*Q6_ii_RawData!K187</f>
        <v>-1.3331800000000001E-2</v>
      </c>
      <c r="P208" s="20">
        <f t="shared" si="13"/>
        <v>1.7455100000000001E-2</v>
      </c>
      <c r="Q208" s="20">
        <f t="shared" si="14"/>
        <v>-3.8743025999999993E-2</v>
      </c>
      <c r="R208" s="20">
        <f t="shared" si="15"/>
        <v>-4.1908366666666669E-2</v>
      </c>
      <c r="S208" s="20">
        <v>203</v>
      </c>
    </row>
    <row r="209" spans="1:19" x14ac:dyDescent="0.15">
      <c r="A209" s="79">
        <f>Q6_ii_RawData!A188</f>
        <v>45345</v>
      </c>
      <c r="B209" s="45">
        <f>$B$11*Q6_ii_RawData!B188+$B$12*Q6_ii_RawData!C188+$B$13*Q6_ii_RawData!D188+$B$14*Q6_ii_RawData!E188+$B$15*Q6_ii_RawData!F188+$B$16*Q6_ii_RawData!G188+$B$17*Q6_ii_RawData!H188+$B$18*Q6_ii_RawData!I188+$B$19*Q6_ii_RawData!J188+$B$20*Q6_ii_RawData!K188</f>
        <v>2.8252800000000002E-2</v>
      </c>
      <c r="P209" s="20">
        <f t="shared" si="13"/>
        <v>1.8033999999999998E-2</v>
      </c>
      <c r="Q209" s="20">
        <f t="shared" si="14"/>
        <v>-3.8743025999999993E-2</v>
      </c>
      <c r="R209" s="20">
        <f t="shared" si="15"/>
        <v>-4.1908366666666669E-2</v>
      </c>
      <c r="S209" s="20">
        <v>204</v>
      </c>
    </row>
    <row r="210" spans="1:19" x14ac:dyDescent="0.15">
      <c r="A210" s="79">
        <f>Q6_ii_RawData!A189</f>
        <v>45348</v>
      </c>
      <c r="B210" s="45">
        <f>$B$11*Q6_ii_RawData!B189+$B$12*Q6_ii_RawData!C189+$B$13*Q6_ii_RawData!D189+$B$14*Q6_ii_RawData!E189+$B$15*Q6_ii_RawData!F189+$B$16*Q6_ii_RawData!G189+$B$17*Q6_ii_RawData!H189+$B$18*Q6_ii_RawData!I189+$B$19*Q6_ii_RawData!J189+$B$20*Q6_ii_RawData!K189</f>
        <v>1.2740499999999998E-2</v>
      </c>
      <c r="P210" s="20">
        <f t="shared" si="13"/>
        <v>1.8405999999999999E-2</v>
      </c>
      <c r="Q210" s="20">
        <f t="shared" si="14"/>
        <v>-3.8743025999999993E-2</v>
      </c>
      <c r="R210" s="20">
        <f t="shared" si="15"/>
        <v>-4.1908366666666669E-2</v>
      </c>
      <c r="S210" s="20">
        <v>205</v>
      </c>
    </row>
    <row r="211" spans="1:19" x14ac:dyDescent="0.15">
      <c r="A211" s="79">
        <f>Q6_ii_RawData!A190</f>
        <v>45349</v>
      </c>
      <c r="B211" s="45">
        <f>$B$11*Q6_ii_RawData!B190+$B$12*Q6_ii_RawData!C190+$B$13*Q6_ii_RawData!D190+$B$14*Q6_ii_RawData!E190+$B$15*Q6_ii_RawData!F190+$B$16*Q6_ii_RawData!G190+$B$17*Q6_ii_RawData!H190+$B$18*Q6_ii_RawData!I190+$B$19*Q6_ii_RawData!J190+$B$20*Q6_ii_RawData!K190</f>
        <v>-1.5264100000000003E-2</v>
      </c>
      <c r="P211" s="20">
        <f t="shared" si="13"/>
        <v>1.8527099999999998E-2</v>
      </c>
      <c r="Q211" s="20">
        <f t="shared" si="14"/>
        <v>-3.8743025999999993E-2</v>
      </c>
      <c r="R211" s="20">
        <f t="shared" si="15"/>
        <v>-4.1908366666666669E-2</v>
      </c>
      <c r="S211" s="20">
        <v>206</v>
      </c>
    </row>
    <row r="212" spans="1:19" x14ac:dyDescent="0.15">
      <c r="A212" s="79">
        <f>Q6_ii_RawData!A191</f>
        <v>45350</v>
      </c>
      <c r="B212" s="45">
        <f>$B$11*Q6_ii_RawData!B191+$B$12*Q6_ii_RawData!C191+$B$13*Q6_ii_RawData!D191+$B$14*Q6_ii_RawData!E191+$B$15*Q6_ii_RawData!F191+$B$16*Q6_ii_RawData!G191+$B$17*Q6_ii_RawData!H191+$B$18*Q6_ii_RawData!I191+$B$19*Q6_ii_RawData!J191+$B$20*Q6_ii_RawData!K191</f>
        <v>-7.3382000000000031E-3</v>
      </c>
      <c r="P212" s="20">
        <f t="shared" si="13"/>
        <v>1.86301E-2</v>
      </c>
      <c r="Q212" s="20">
        <f t="shared" si="14"/>
        <v>-3.8743025999999993E-2</v>
      </c>
      <c r="R212" s="20">
        <f t="shared" si="15"/>
        <v>-4.1908366666666669E-2</v>
      </c>
      <c r="S212" s="20">
        <v>207</v>
      </c>
    </row>
    <row r="213" spans="1:19" x14ac:dyDescent="0.15">
      <c r="A213" s="79">
        <f>Q6_ii_RawData!A192</f>
        <v>45351</v>
      </c>
      <c r="B213" s="45">
        <f>$B$11*Q6_ii_RawData!B192+$B$12*Q6_ii_RawData!C192+$B$13*Q6_ii_RawData!D192+$B$14*Q6_ii_RawData!E192+$B$15*Q6_ii_RawData!F192+$B$16*Q6_ii_RawData!G192+$B$17*Q6_ii_RawData!H192+$B$18*Q6_ii_RawData!I192+$B$19*Q6_ii_RawData!J192+$B$20*Q6_ii_RawData!K192</f>
        <v>2.2681699999999999E-2</v>
      </c>
      <c r="P213" s="20">
        <f t="shared" si="13"/>
        <v>1.9413199999999999E-2</v>
      </c>
      <c r="Q213" s="20">
        <f t="shared" si="14"/>
        <v>-3.8743025999999993E-2</v>
      </c>
      <c r="R213" s="20">
        <f t="shared" si="15"/>
        <v>-4.1908366666666669E-2</v>
      </c>
      <c r="S213" s="20">
        <v>208</v>
      </c>
    </row>
    <row r="214" spans="1:19" x14ac:dyDescent="0.15">
      <c r="A214" s="79">
        <f>Q6_ii_RawData!A193</f>
        <v>45352</v>
      </c>
      <c r="B214" s="45">
        <f>$B$11*Q6_ii_RawData!B193+$B$12*Q6_ii_RawData!C193+$B$13*Q6_ii_RawData!D193+$B$14*Q6_ii_RawData!E193+$B$15*Q6_ii_RawData!F193+$B$16*Q6_ii_RawData!G193+$B$17*Q6_ii_RawData!H193+$B$18*Q6_ii_RawData!I193+$B$19*Q6_ii_RawData!J193+$B$20*Q6_ii_RawData!K193</f>
        <v>-1.6947299999999998E-2</v>
      </c>
      <c r="P214" s="20">
        <f t="shared" si="13"/>
        <v>1.9551100000000002E-2</v>
      </c>
      <c r="Q214" s="20">
        <f t="shared" si="14"/>
        <v>-3.8743025999999993E-2</v>
      </c>
      <c r="R214" s="20">
        <f t="shared" si="15"/>
        <v>-4.1908366666666669E-2</v>
      </c>
      <c r="S214" s="20">
        <v>209</v>
      </c>
    </row>
    <row r="215" spans="1:19" x14ac:dyDescent="0.15">
      <c r="A215" s="79">
        <f>Q6_ii_RawData!A194</f>
        <v>45355</v>
      </c>
      <c r="B215" s="45">
        <f>$B$11*Q6_ii_RawData!B194+$B$12*Q6_ii_RawData!C194+$B$13*Q6_ii_RawData!D194+$B$14*Q6_ii_RawData!E194+$B$15*Q6_ii_RawData!F194+$B$16*Q6_ii_RawData!G194+$B$17*Q6_ii_RawData!H194+$B$18*Q6_ii_RawData!I194+$B$19*Q6_ii_RawData!J194+$B$20*Q6_ii_RawData!K194</f>
        <v>-1.5940199999999995E-2</v>
      </c>
      <c r="P215" s="20">
        <f t="shared" si="13"/>
        <v>1.9572400000000004E-2</v>
      </c>
      <c r="Q215" s="20">
        <f t="shared" si="14"/>
        <v>-3.8743025999999993E-2</v>
      </c>
      <c r="R215" s="20">
        <f t="shared" si="15"/>
        <v>-4.1908366666666669E-2</v>
      </c>
      <c r="S215" s="20">
        <v>210</v>
      </c>
    </row>
    <row r="216" spans="1:19" x14ac:dyDescent="0.15">
      <c r="A216" s="79">
        <f>Q6_ii_RawData!A195</f>
        <v>45356</v>
      </c>
      <c r="B216" s="45">
        <f>$B$11*Q6_ii_RawData!B195+$B$12*Q6_ii_RawData!C195+$B$13*Q6_ii_RawData!D195+$B$14*Q6_ii_RawData!E195+$B$15*Q6_ii_RawData!F195+$B$16*Q6_ii_RawData!G195+$B$17*Q6_ii_RawData!H195+$B$18*Q6_ii_RawData!I195+$B$19*Q6_ii_RawData!J195+$B$20*Q6_ii_RawData!K195</f>
        <v>1.2962399999999999E-2</v>
      </c>
      <c r="P216" s="20">
        <f t="shared" si="13"/>
        <v>2.0794200000000002E-2</v>
      </c>
      <c r="Q216" s="20">
        <f t="shared" si="14"/>
        <v>-3.8743025999999993E-2</v>
      </c>
      <c r="R216" s="20">
        <f t="shared" si="15"/>
        <v>-4.1908366666666669E-2</v>
      </c>
      <c r="S216" s="20">
        <v>211</v>
      </c>
    </row>
    <row r="217" spans="1:19" x14ac:dyDescent="0.15">
      <c r="A217" s="79">
        <f>Q6_ii_RawData!A196</f>
        <v>45357</v>
      </c>
      <c r="B217" s="45">
        <f>$B$11*Q6_ii_RawData!B196+$B$12*Q6_ii_RawData!C196+$B$13*Q6_ii_RawData!D196+$B$14*Q6_ii_RawData!E196+$B$15*Q6_ii_RawData!F196+$B$16*Q6_ii_RawData!G196+$B$17*Q6_ii_RawData!H196+$B$18*Q6_ii_RawData!I196+$B$19*Q6_ii_RawData!J196+$B$20*Q6_ii_RawData!K196</f>
        <v>1.0195199999999998E-2</v>
      </c>
      <c r="P217" s="20">
        <f t="shared" si="13"/>
        <v>2.0911900000000004E-2</v>
      </c>
      <c r="Q217" s="20">
        <f t="shared" si="14"/>
        <v>-3.8743025999999993E-2</v>
      </c>
      <c r="R217" s="20">
        <f t="shared" si="15"/>
        <v>-4.1908366666666669E-2</v>
      </c>
      <c r="S217" s="20">
        <v>212</v>
      </c>
    </row>
    <row r="218" spans="1:19" x14ac:dyDescent="0.15">
      <c r="A218" s="79">
        <f>Q6_ii_RawData!A197</f>
        <v>45358</v>
      </c>
      <c r="B218" s="45">
        <f>$B$11*Q6_ii_RawData!B197+$B$12*Q6_ii_RawData!C197+$B$13*Q6_ii_RawData!D197+$B$14*Q6_ii_RawData!E197+$B$15*Q6_ii_RawData!F197+$B$16*Q6_ii_RawData!G197+$B$17*Q6_ii_RawData!H197+$B$18*Q6_ii_RawData!I197+$B$19*Q6_ii_RawData!J197+$B$20*Q6_ii_RawData!K197</f>
        <v>8.3915999999999991E-3</v>
      </c>
      <c r="P218" s="20">
        <f t="shared" si="13"/>
        <v>2.14453E-2</v>
      </c>
      <c r="Q218" s="20">
        <f t="shared" si="14"/>
        <v>-3.8743025999999993E-2</v>
      </c>
      <c r="R218" s="20">
        <f t="shared" si="15"/>
        <v>-4.1908366666666669E-2</v>
      </c>
      <c r="S218" s="20">
        <v>213</v>
      </c>
    </row>
    <row r="219" spans="1:19" x14ac:dyDescent="0.15">
      <c r="A219" s="79">
        <f>Q6_ii_RawData!A198</f>
        <v>45359</v>
      </c>
      <c r="B219" s="45">
        <f>$B$11*Q6_ii_RawData!B198+$B$12*Q6_ii_RawData!C198+$B$13*Q6_ii_RawData!D198+$B$14*Q6_ii_RawData!E198+$B$15*Q6_ii_RawData!F198+$B$16*Q6_ii_RawData!G198+$B$17*Q6_ii_RawData!H198+$B$18*Q6_ii_RawData!I198+$B$19*Q6_ii_RawData!J198+$B$20*Q6_ii_RawData!K198</f>
        <v>-1.3821499999999997E-2</v>
      </c>
      <c r="P219" s="20">
        <f t="shared" si="13"/>
        <v>2.1701399999999999E-2</v>
      </c>
      <c r="Q219" s="20">
        <f t="shared" si="14"/>
        <v>-3.8743025999999993E-2</v>
      </c>
      <c r="R219" s="20">
        <f t="shared" si="15"/>
        <v>-4.1908366666666669E-2</v>
      </c>
      <c r="S219" s="20">
        <v>214</v>
      </c>
    </row>
    <row r="220" spans="1:19" x14ac:dyDescent="0.15">
      <c r="A220" s="79">
        <f>Q6_ii_RawData!A199</f>
        <v>45362</v>
      </c>
      <c r="B220" s="45">
        <f>$B$11*Q6_ii_RawData!B199+$B$12*Q6_ii_RawData!C199+$B$13*Q6_ii_RawData!D199+$B$14*Q6_ii_RawData!E199+$B$15*Q6_ii_RawData!F199+$B$16*Q6_ii_RawData!G199+$B$17*Q6_ii_RawData!H199+$B$18*Q6_ii_RawData!I199+$B$19*Q6_ii_RawData!J199+$B$20*Q6_ii_RawData!K199</f>
        <v>5.2720000000000015E-3</v>
      </c>
      <c r="P220" s="20">
        <f t="shared" si="13"/>
        <v>2.2079700000000001E-2</v>
      </c>
      <c r="Q220" s="20">
        <f t="shared" si="14"/>
        <v>-3.8743025999999993E-2</v>
      </c>
      <c r="R220" s="20">
        <f t="shared" si="15"/>
        <v>-4.1908366666666669E-2</v>
      </c>
      <c r="S220" s="20">
        <v>215</v>
      </c>
    </row>
    <row r="221" spans="1:19" x14ac:dyDescent="0.15">
      <c r="A221" s="79">
        <f>Q6_ii_RawData!A200</f>
        <v>45363</v>
      </c>
      <c r="B221" s="45">
        <f>$B$11*Q6_ii_RawData!B200+$B$12*Q6_ii_RawData!C200+$B$13*Q6_ii_RawData!D200+$B$14*Q6_ii_RawData!E200+$B$15*Q6_ii_RawData!F200+$B$16*Q6_ii_RawData!G200+$B$17*Q6_ii_RawData!H200+$B$18*Q6_ii_RawData!I200+$B$19*Q6_ii_RawData!J200+$B$20*Q6_ii_RawData!K200</f>
        <v>7.9719999999999986E-4</v>
      </c>
      <c r="P221" s="20">
        <f t="shared" si="13"/>
        <v>2.24192E-2</v>
      </c>
      <c r="Q221" s="20">
        <f t="shared" si="14"/>
        <v>-3.8743025999999993E-2</v>
      </c>
      <c r="R221" s="20">
        <f t="shared" si="15"/>
        <v>-4.1908366666666669E-2</v>
      </c>
      <c r="S221" s="20">
        <v>216</v>
      </c>
    </row>
    <row r="222" spans="1:19" x14ac:dyDescent="0.15">
      <c r="A222" s="79">
        <f>Q6_ii_RawData!A201</f>
        <v>45364</v>
      </c>
      <c r="B222" s="45">
        <f>$B$11*Q6_ii_RawData!B201+$B$12*Q6_ii_RawData!C201+$B$13*Q6_ii_RawData!D201+$B$14*Q6_ii_RawData!E201+$B$15*Q6_ii_RawData!F201+$B$16*Q6_ii_RawData!G201+$B$17*Q6_ii_RawData!H201+$B$18*Q6_ii_RawData!I201+$B$19*Q6_ii_RawData!J201+$B$20*Q6_ii_RawData!K201</f>
        <v>-2.2519000000000001E-2</v>
      </c>
      <c r="P222" s="20">
        <f t="shared" si="13"/>
        <v>2.2681699999999999E-2</v>
      </c>
      <c r="Q222" s="20">
        <f t="shared" si="14"/>
        <v>-3.8743025999999993E-2</v>
      </c>
      <c r="R222" s="20">
        <f t="shared" si="15"/>
        <v>-4.1908366666666669E-2</v>
      </c>
      <c r="S222" s="20">
        <v>217</v>
      </c>
    </row>
    <row r="223" spans="1:19" x14ac:dyDescent="0.15">
      <c r="A223" s="79">
        <f>Q6_ii_RawData!A202</f>
        <v>45365</v>
      </c>
      <c r="B223" s="45">
        <f>$B$11*Q6_ii_RawData!B202+$B$12*Q6_ii_RawData!C202+$B$13*Q6_ii_RawData!D202+$B$14*Q6_ii_RawData!E202+$B$15*Q6_ii_RawData!F202+$B$16*Q6_ii_RawData!G202+$B$17*Q6_ii_RawData!H202+$B$18*Q6_ii_RawData!I202+$B$19*Q6_ii_RawData!J202+$B$20*Q6_ii_RawData!K202</f>
        <v>4.2667E-3</v>
      </c>
      <c r="P223" s="20">
        <f t="shared" si="13"/>
        <v>2.2868600000000003E-2</v>
      </c>
      <c r="Q223" s="20">
        <f t="shared" si="14"/>
        <v>-3.8743025999999993E-2</v>
      </c>
      <c r="R223" s="20">
        <f t="shared" si="15"/>
        <v>-4.1908366666666669E-2</v>
      </c>
      <c r="S223" s="20">
        <v>218</v>
      </c>
    </row>
    <row r="224" spans="1:19" x14ac:dyDescent="0.15">
      <c r="A224" s="79">
        <f>Q6_ii_RawData!A203</f>
        <v>45366</v>
      </c>
      <c r="B224" s="45">
        <f>$B$11*Q6_ii_RawData!B203+$B$12*Q6_ii_RawData!C203+$B$13*Q6_ii_RawData!D203+$B$14*Q6_ii_RawData!E203+$B$15*Q6_ii_RawData!F203+$B$16*Q6_ii_RawData!G203+$B$17*Q6_ii_RawData!H203+$B$18*Q6_ii_RawData!I203+$B$19*Q6_ii_RawData!J203+$B$20*Q6_ii_RawData!K203</f>
        <v>-5.5299999999999993E-3</v>
      </c>
      <c r="P224" s="20">
        <f t="shared" si="13"/>
        <v>2.3013700000000005E-2</v>
      </c>
      <c r="Q224" s="20">
        <f t="shared" si="14"/>
        <v>-3.8743025999999993E-2</v>
      </c>
      <c r="R224" s="20">
        <f t="shared" si="15"/>
        <v>-4.1908366666666669E-2</v>
      </c>
      <c r="S224" s="20">
        <v>219</v>
      </c>
    </row>
    <row r="225" spans="1:19" x14ac:dyDescent="0.15">
      <c r="A225" s="79">
        <f>Q6_ii_RawData!A204</f>
        <v>45369</v>
      </c>
      <c r="B225" s="45">
        <f>$B$11*Q6_ii_RawData!B204+$B$12*Q6_ii_RawData!C204+$B$13*Q6_ii_RawData!D204+$B$14*Q6_ii_RawData!E204+$B$15*Q6_ii_RawData!F204+$B$16*Q6_ii_RawData!G204+$B$17*Q6_ii_RawData!H204+$B$18*Q6_ii_RawData!I204+$B$19*Q6_ii_RawData!J204+$B$20*Q6_ii_RawData!K204</f>
        <v>-6.7700000000000263E-5</v>
      </c>
      <c r="P225" s="20">
        <f t="shared" si="13"/>
        <v>2.3327100000000003E-2</v>
      </c>
      <c r="Q225" s="20">
        <f t="shared" si="14"/>
        <v>-3.8743025999999993E-2</v>
      </c>
      <c r="R225" s="20">
        <f t="shared" si="15"/>
        <v>-4.1908366666666669E-2</v>
      </c>
      <c r="S225" s="20">
        <v>220</v>
      </c>
    </row>
    <row r="226" spans="1:19" x14ac:dyDescent="0.15">
      <c r="A226" s="79">
        <f>Q6_ii_RawData!A205</f>
        <v>45370</v>
      </c>
      <c r="B226" s="45">
        <f>$B$11*Q6_ii_RawData!B205+$B$12*Q6_ii_RawData!C205+$B$13*Q6_ii_RawData!D205+$B$14*Q6_ii_RawData!E205+$B$15*Q6_ii_RawData!F205+$B$16*Q6_ii_RawData!G205+$B$17*Q6_ii_RawData!H205+$B$18*Q6_ii_RawData!I205+$B$19*Q6_ii_RawData!J205+$B$20*Q6_ii_RawData!K205</f>
        <v>2.9957200000000003E-2</v>
      </c>
      <c r="P226" s="20">
        <f t="shared" si="13"/>
        <v>2.3661100000000001E-2</v>
      </c>
      <c r="Q226" s="20">
        <f t="shared" si="14"/>
        <v>-3.8743025999999993E-2</v>
      </c>
      <c r="R226" s="20">
        <f t="shared" si="15"/>
        <v>-4.1908366666666669E-2</v>
      </c>
      <c r="S226" s="20">
        <v>221</v>
      </c>
    </row>
    <row r="227" spans="1:19" x14ac:dyDescent="0.15">
      <c r="A227" s="79">
        <f>Q6_ii_RawData!A206</f>
        <v>45371</v>
      </c>
      <c r="B227" s="45">
        <f>$B$11*Q6_ii_RawData!B206+$B$12*Q6_ii_RawData!C206+$B$13*Q6_ii_RawData!D206+$B$14*Q6_ii_RawData!E206+$B$15*Q6_ii_RawData!F206+$B$16*Q6_ii_RawData!G206+$B$17*Q6_ii_RawData!H206+$B$18*Q6_ii_RawData!I206+$B$19*Q6_ii_RawData!J206+$B$20*Q6_ii_RawData!K206</f>
        <v>-3.3049000000000004E-3</v>
      </c>
      <c r="P227" s="20">
        <f t="shared" si="13"/>
        <v>2.3718900000000001E-2</v>
      </c>
      <c r="Q227" s="20">
        <f t="shared" si="14"/>
        <v>-3.8743025999999993E-2</v>
      </c>
      <c r="R227" s="20">
        <f t="shared" si="15"/>
        <v>-4.1908366666666669E-2</v>
      </c>
      <c r="S227" s="20">
        <v>222</v>
      </c>
    </row>
    <row r="228" spans="1:19" x14ac:dyDescent="0.15">
      <c r="A228" s="79">
        <f>Q6_ii_RawData!A207</f>
        <v>45372</v>
      </c>
      <c r="B228" s="45">
        <f>$B$11*Q6_ii_RawData!B207+$B$12*Q6_ii_RawData!C207+$B$13*Q6_ii_RawData!D207+$B$14*Q6_ii_RawData!E207+$B$15*Q6_ii_RawData!F207+$B$16*Q6_ii_RawData!G207+$B$17*Q6_ii_RawData!H207+$B$18*Q6_ii_RawData!I207+$B$19*Q6_ii_RawData!J207+$B$20*Q6_ii_RawData!K207</f>
        <v>-3.3111000000000004E-3</v>
      </c>
      <c r="P228" s="20">
        <f t="shared" si="13"/>
        <v>2.3944600000000003E-2</v>
      </c>
      <c r="Q228" s="20">
        <f t="shared" si="14"/>
        <v>-3.8743025999999993E-2</v>
      </c>
      <c r="R228" s="20">
        <f t="shared" si="15"/>
        <v>-4.1908366666666669E-2</v>
      </c>
      <c r="S228" s="20">
        <v>223</v>
      </c>
    </row>
    <row r="229" spans="1:19" x14ac:dyDescent="0.15">
      <c r="A229" s="79">
        <f>Q6_ii_RawData!A208</f>
        <v>45373</v>
      </c>
      <c r="B229" s="45">
        <f>$B$11*Q6_ii_RawData!B208+$B$12*Q6_ii_RawData!C208+$B$13*Q6_ii_RawData!D208+$B$14*Q6_ii_RawData!E208+$B$15*Q6_ii_RawData!F208+$B$16*Q6_ii_RawData!G208+$B$17*Q6_ii_RawData!H208+$B$18*Q6_ii_RawData!I208+$B$19*Q6_ii_RawData!J208+$B$20*Q6_ii_RawData!K208</f>
        <v>4.0523E-3</v>
      </c>
      <c r="P229" s="20">
        <f t="shared" si="13"/>
        <v>2.4266000000000003E-2</v>
      </c>
      <c r="Q229" s="20">
        <f t="shared" si="14"/>
        <v>-3.8743025999999993E-2</v>
      </c>
      <c r="R229" s="20">
        <f t="shared" si="15"/>
        <v>-4.1908366666666669E-2</v>
      </c>
      <c r="S229" s="20">
        <v>224</v>
      </c>
    </row>
    <row r="230" spans="1:19" x14ac:dyDescent="0.15">
      <c r="A230" s="79">
        <f>Q6_ii_RawData!A209</f>
        <v>45376</v>
      </c>
      <c r="B230" s="45">
        <f>$B$11*Q6_ii_RawData!B209+$B$12*Q6_ii_RawData!C209+$B$13*Q6_ii_RawData!D209+$B$14*Q6_ii_RawData!E209+$B$15*Q6_ii_RawData!F209+$B$16*Q6_ii_RawData!G209+$B$17*Q6_ii_RawData!H209+$B$18*Q6_ii_RawData!I209+$B$19*Q6_ii_RawData!J209+$B$20*Q6_ii_RawData!K209</f>
        <v>-1.1482800000000001E-2</v>
      </c>
      <c r="P230" s="20">
        <f t="shared" si="13"/>
        <v>2.4398000000000003E-2</v>
      </c>
      <c r="Q230" s="20">
        <f t="shared" si="14"/>
        <v>-3.8743025999999993E-2</v>
      </c>
      <c r="R230" s="20">
        <f t="shared" si="15"/>
        <v>-4.1908366666666669E-2</v>
      </c>
      <c r="S230" s="20">
        <v>225</v>
      </c>
    </row>
    <row r="231" spans="1:19" x14ac:dyDescent="0.15">
      <c r="A231" s="79">
        <f>Q6_ii_RawData!A210</f>
        <v>45377</v>
      </c>
      <c r="B231" s="45">
        <f>$B$11*Q6_ii_RawData!B210+$B$12*Q6_ii_RawData!C210+$B$13*Q6_ii_RawData!D210+$B$14*Q6_ii_RawData!E210+$B$15*Q6_ii_RawData!F210+$B$16*Q6_ii_RawData!G210+$B$17*Q6_ii_RawData!H210+$B$18*Q6_ii_RawData!I210+$B$19*Q6_ii_RawData!J210+$B$20*Q6_ii_RawData!K210</f>
        <v>8.4642999999999993E-3</v>
      </c>
      <c r="P231" s="20">
        <f t="shared" si="13"/>
        <v>2.5010400000000002E-2</v>
      </c>
      <c r="Q231" s="20">
        <f t="shared" si="14"/>
        <v>-3.8743025999999993E-2</v>
      </c>
      <c r="R231" s="20">
        <f t="shared" si="15"/>
        <v>-4.1908366666666669E-2</v>
      </c>
      <c r="S231" s="20">
        <v>226</v>
      </c>
    </row>
    <row r="232" spans="1:19" x14ac:dyDescent="0.15">
      <c r="A232" s="79">
        <f>Q6_ii_RawData!A211</f>
        <v>45378</v>
      </c>
      <c r="B232" s="45">
        <f>$B$11*Q6_ii_RawData!B211+$B$12*Q6_ii_RawData!C211+$B$13*Q6_ii_RawData!D211+$B$14*Q6_ii_RawData!E211+$B$15*Q6_ii_RawData!F211+$B$16*Q6_ii_RawData!G211+$B$17*Q6_ii_RawData!H211+$B$18*Q6_ii_RawData!I211+$B$19*Q6_ii_RawData!J211+$B$20*Q6_ii_RawData!K211</f>
        <v>-9.1082000000000003E-3</v>
      </c>
      <c r="P232" s="20">
        <f t="shared" si="13"/>
        <v>2.5899600000000002E-2</v>
      </c>
      <c r="Q232" s="20">
        <f t="shared" si="14"/>
        <v>-3.8743025999999993E-2</v>
      </c>
      <c r="R232" s="20">
        <f t="shared" si="15"/>
        <v>-4.1908366666666669E-2</v>
      </c>
      <c r="S232" s="20">
        <v>227</v>
      </c>
    </row>
    <row r="233" spans="1:19" x14ac:dyDescent="0.15">
      <c r="A233" s="79">
        <f>Q6_ii_RawData!A212</f>
        <v>45379</v>
      </c>
      <c r="B233" s="45">
        <f>$B$11*Q6_ii_RawData!B212+$B$12*Q6_ii_RawData!C212+$B$13*Q6_ii_RawData!D212+$B$14*Q6_ii_RawData!E212+$B$15*Q6_ii_RawData!F212+$B$16*Q6_ii_RawData!G212+$B$17*Q6_ii_RawData!H212+$B$18*Q6_ii_RawData!I212+$B$19*Q6_ii_RawData!J212+$B$20*Q6_ii_RawData!K212</f>
        <v>-2.3238999999999998E-3</v>
      </c>
      <c r="P233" s="20">
        <f t="shared" si="13"/>
        <v>2.5926100000000001E-2</v>
      </c>
      <c r="Q233" s="20">
        <f t="shared" si="14"/>
        <v>-3.8743025999999993E-2</v>
      </c>
      <c r="R233" s="20">
        <f t="shared" si="15"/>
        <v>-4.1908366666666669E-2</v>
      </c>
      <c r="S233" s="20">
        <v>228</v>
      </c>
    </row>
    <row r="234" spans="1:19" x14ac:dyDescent="0.15">
      <c r="A234" s="79">
        <f>Q6_ii_RawData!A213</f>
        <v>45383</v>
      </c>
      <c r="B234" s="45">
        <f>$B$11*Q6_ii_RawData!B213+$B$12*Q6_ii_RawData!C213+$B$13*Q6_ii_RawData!D213+$B$14*Q6_ii_RawData!E213+$B$15*Q6_ii_RawData!F213+$B$16*Q6_ii_RawData!G213+$B$17*Q6_ii_RawData!H213+$B$18*Q6_ii_RawData!I213+$B$19*Q6_ii_RawData!J213+$B$20*Q6_ii_RawData!K213</f>
        <v>-1.69622E-2</v>
      </c>
      <c r="P234" s="20">
        <f t="shared" si="13"/>
        <v>2.6293500000000001E-2</v>
      </c>
      <c r="Q234" s="20">
        <f t="shared" si="14"/>
        <v>-3.8743025999999993E-2</v>
      </c>
      <c r="R234" s="20">
        <f t="shared" si="15"/>
        <v>-4.1908366666666669E-2</v>
      </c>
      <c r="S234" s="20">
        <v>229</v>
      </c>
    </row>
    <row r="235" spans="1:19" x14ac:dyDescent="0.15">
      <c r="A235" s="79">
        <f>Q6_ii_RawData!A214</f>
        <v>45384</v>
      </c>
      <c r="B235" s="45">
        <f>$B$11*Q6_ii_RawData!B214+$B$12*Q6_ii_RawData!C214+$B$13*Q6_ii_RawData!D214+$B$14*Q6_ii_RawData!E214+$B$15*Q6_ii_RawData!F214+$B$16*Q6_ii_RawData!G214+$B$17*Q6_ii_RawData!H214+$B$18*Q6_ii_RawData!I214+$B$19*Q6_ii_RawData!J214+$B$20*Q6_ii_RawData!K214</f>
        <v>1.7638000000000005E-3</v>
      </c>
      <c r="P235" s="20">
        <f t="shared" si="13"/>
        <v>2.6816E-2</v>
      </c>
      <c r="Q235" s="20">
        <f t="shared" si="14"/>
        <v>-3.8743025999999993E-2</v>
      </c>
      <c r="R235" s="20">
        <f t="shared" si="15"/>
        <v>-4.1908366666666669E-2</v>
      </c>
      <c r="S235" s="20">
        <v>230</v>
      </c>
    </row>
    <row r="236" spans="1:19" x14ac:dyDescent="0.15">
      <c r="A236" s="79">
        <f>Q6_ii_RawData!A215</f>
        <v>45385</v>
      </c>
      <c r="B236" s="45">
        <f>$B$11*Q6_ii_RawData!B215+$B$12*Q6_ii_RawData!C215+$B$13*Q6_ii_RawData!D215+$B$14*Q6_ii_RawData!E215+$B$15*Q6_ii_RawData!F215+$B$16*Q6_ii_RawData!G215+$B$17*Q6_ii_RawData!H215+$B$18*Q6_ii_RawData!I215+$B$19*Q6_ii_RawData!J215+$B$20*Q6_ii_RawData!K215</f>
        <v>-2.0009800000000001E-2</v>
      </c>
      <c r="P236" s="20">
        <f t="shared" si="13"/>
        <v>2.7295200000000006E-2</v>
      </c>
      <c r="Q236" s="20">
        <f t="shared" si="14"/>
        <v>-3.8743025999999993E-2</v>
      </c>
      <c r="R236" s="20">
        <f t="shared" si="15"/>
        <v>-4.1908366666666669E-2</v>
      </c>
      <c r="S236" s="20">
        <v>231</v>
      </c>
    </row>
    <row r="237" spans="1:19" x14ac:dyDescent="0.15">
      <c r="A237" s="79">
        <f>Q6_ii_RawData!A216</f>
        <v>45386</v>
      </c>
      <c r="B237" s="45">
        <f>$B$11*Q6_ii_RawData!B216+$B$12*Q6_ii_RawData!C216+$B$13*Q6_ii_RawData!D216+$B$14*Q6_ii_RawData!E216+$B$15*Q6_ii_RawData!F216+$B$16*Q6_ii_RawData!G216+$B$17*Q6_ii_RawData!H216+$B$18*Q6_ii_RawData!I216+$B$19*Q6_ii_RawData!J216+$B$20*Q6_ii_RawData!K216</f>
        <v>4.6235E-3</v>
      </c>
      <c r="P237" s="20">
        <f t="shared" si="13"/>
        <v>2.7428000000000008E-2</v>
      </c>
      <c r="Q237" s="20">
        <f t="shared" si="14"/>
        <v>-3.8743025999999993E-2</v>
      </c>
      <c r="R237" s="20">
        <f t="shared" si="15"/>
        <v>-4.1908366666666669E-2</v>
      </c>
      <c r="S237" s="20">
        <v>232</v>
      </c>
    </row>
    <row r="238" spans="1:19" x14ac:dyDescent="0.15">
      <c r="A238" s="79">
        <f>Q6_ii_RawData!A217</f>
        <v>45387</v>
      </c>
      <c r="B238" s="45">
        <f>$B$11*Q6_ii_RawData!B217+$B$12*Q6_ii_RawData!C217+$B$13*Q6_ii_RawData!D217+$B$14*Q6_ii_RawData!E217+$B$15*Q6_ii_RawData!F217+$B$16*Q6_ii_RawData!G217+$B$17*Q6_ii_RawData!H217+$B$18*Q6_ii_RawData!I217+$B$19*Q6_ii_RawData!J217+$B$20*Q6_ii_RawData!K217</f>
        <v>2.5628000000000001E-3</v>
      </c>
      <c r="P238" s="20">
        <f t="shared" si="13"/>
        <v>2.8032700000000001E-2</v>
      </c>
      <c r="Q238" s="20">
        <f t="shared" si="14"/>
        <v>-3.8743025999999993E-2</v>
      </c>
      <c r="R238" s="20">
        <f t="shared" si="15"/>
        <v>-4.1908366666666669E-2</v>
      </c>
      <c r="S238" s="20">
        <v>233</v>
      </c>
    </row>
    <row r="239" spans="1:19" x14ac:dyDescent="0.15">
      <c r="A239" s="79">
        <f>Q6_ii_RawData!A218</f>
        <v>45390</v>
      </c>
      <c r="B239" s="45">
        <f>$B$11*Q6_ii_RawData!B218+$B$12*Q6_ii_RawData!C218+$B$13*Q6_ii_RawData!D218+$B$14*Q6_ii_RawData!E218+$B$15*Q6_ii_RawData!F218+$B$16*Q6_ii_RawData!G218+$B$17*Q6_ii_RawData!H218+$B$18*Q6_ii_RawData!I218+$B$19*Q6_ii_RawData!J218+$B$20*Q6_ii_RawData!K218</f>
        <v>5.4727000000000005E-3</v>
      </c>
      <c r="P239" s="20">
        <f t="shared" si="13"/>
        <v>2.8252800000000002E-2</v>
      </c>
      <c r="Q239" s="20">
        <f t="shared" si="14"/>
        <v>-3.8743025999999993E-2</v>
      </c>
      <c r="R239" s="20">
        <f t="shared" si="15"/>
        <v>-4.1908366666666669E-2</v>
      </c>
      <c r="S239" s="20">
        <v>234</v>
      </c>
    </row>
    <row r="240" spans="1:19" x14ac:dyDescent="0.15">
      <c r="A240" s="79">
        <f>Q6_ii_RawData!A219</f>
        <v>45391</v>
      </c>
      <c r="B240" s="45">
        <f>$B$11*Q6_ii_RawData!B219+$B$12*Q6_ii_RawData!C219+$B$13*Q6_ii_RawData!D219+$B$14*Q6_ii_RawData!E219+$B$15*Q6_ii_RawData!F219+$B$16*Q6_ii_RawData!G219+$B$17*Q6_ii_RawData!H219+$B$18*Q6_ii_RawData!I219+$B$19*Q6_ii_RawData!J219+$B$20*Q6_ii_RawData!K219</f>
        <v>-1.6495700000000002E-2</v>
      </c>
      <c r="P240" s="20">
        <f t="shared" si="13"/>
        <v>2.9506900000000003E-2</v>
      </c>
      <c r="Q240" s="20">
        <f t="shared" si="14"/>
        <v>-3.8743025999999993E-2</v>
      </c>
      <c r="R240" s="20">
        <f t="shared" si="15"/>
        <v>-4.1908366666666669E-2</v>
      </c>
      <c r="S240" s="20">
        <v>235</v>
      </c>
    </row>
    <row r="241" spans="1:19" x14ac:dyDescent="0.15">
      <c r="A241" s="79">
        <f>Q6_ii_RawData!A220</f>
        <v>45392</v>
      </c>
      <c r="B241" s="45">
        <f>$B$11*Q6_ii_RawData!B220+$B$12*Q6_ii_RawData!C220+$B$13*Q6_ii_RawData!D220+$B$14*Q6_ii_RawData!E220+$B$15*Q6_ii_RawData!F220+$B$16*Q6_ii_RawData!G220+$B$17*Q6_ii_RawData!H220+$B$18*Q6_ii_RawData!I220+$B$19*Q6_ii_RawData!J220+$B$20*Q6_ii_RawData!K220</f>
        <v>7.3318000000000012E-3</v>
      </c>
      <c r="P241" s="20">
        <f t="shared" si="13"/>
        <v>2.9842900000000006E-2</v>
      </c>
      <c r="Q241" s="20">
        <f t="shared" si="14"/>
        <v>-3.8743025999999993E-2</v>
      </c>
      <c r="R241" s="20">
        <f t="shared" si="15"/>
        <v>-4.1908366666666669E-2</v>
      </c>
      <c r="S241" s="20">
        <v>236</v>
      </c>
    </row>
    <row r="242" spans="1:19" x14ac:dyDescent="0.15">
      <c r="A242" s="79">
        <f>Q6_ii_RawData!A221</f>
        <v>45393</v>
      </c>
      <c r="B242" s="45">
        <f>$B$11*Q6_ii_RawData!B221+$B$12*Q6_ii_RawData!C221+$B$13*Q6_ii_RawData!D221+$B$14*Q6_ii_RawData!E221+$B$15*Q6_ii_RawData!F221+$B$16*Q6_ii_RawData!G221+$B$17*Q6_ii_RawData!H221+$B$18*Q6_ii_RawData!I221+$B$19*Q6_ii_RawData!J221+$B$20*Q6_ii_RawData!K221</f>
        <v>-3.7191299999999997E-2</v>
      </c>
      <c r="P242" s="20">
        <f t="shared" si="13"/>
        <v>2.9957200000000003E-2</v>
      </c>
      <c r="Q242" s="20">
        <f t="shared" si="14"/>
        <v>-3.8743025999999993E-2</v>
      </c>
      <c r="R242" s="20">
        <f t="shared" si="15"/>
        <v>-4.1908366666666669E-2</v>
      </c>
      <c r="S242" s="20">
        <v>237</v>
      </c>
    </row>
    <row r="243" spans="1:19" x14ac:dyDescent="0.15">
      <c r="A243" s="79">
        <f>Q6_ii_RawData!A222</f>
        <v>45394</v>
      </c>
      <c r="B243" s="45">
        <f>$B$11*Q6_ii_RawData!B222+$B$12*Q6_ii_RawData!C222+$B$13*Q6_ii_RawData!D222+$B$14*Q6_ii_RawData!E222+$B$15*Q6_ii_RawData!F222+$B$16*Q6_ii_RawData!G222+$B$17*Q6_ii_RawData!H222+$B$18*Q6_ii_RawData!I222+$B$19*Q6_ii_RawData!J222+$B$20*Q6_ii_RawData!K222</f>
        <v>-3.1557200000000001E-2</v>
      </c>
      <c r="P243" s="20">
        <f t="shared" si="13"/>
        <v>3.0529400000000005E-2</v>
      </c>
      <c r="Q243" s="20">
        <f t="shared" si="14"/>
        <v>-3.8743025999999993E-2</v>
      </c>
      <c r="R243" s="20">
        <f t="shared" si="15"/>
        <v>-4.1908366666666669E-2</v>
      </c>
      <c r="S243" s="20">
        <v>238</v>
      </c>
    </row>
    <row r="244" spans="1:19" x14ac:dyDescent="0.15">
      <c r="A244" s="79">
        <f>Q6_ii_RawData!A223</f>
        <v>45397</v>
      </c>
      <c r="B244" s="45">
        <f>$B$11*Q6_ii_RawData!B223+$B$12*Q6_ii_RawData!C223+$B$13*Q6_ii_RawData!D223+$B$14*Q6_ii_RawData!E223+$B$15*Q6_ii_RawData!F223+$B$16*Q6_ii_RawData!G223+$B$17*Q6_ii_RawData!H223+$B$18*Q6_ii_RawData!I223+$B$19*Q6_ii_RawData!J223+$B$20*Q6_ii_RawData!K223</f>
        <v>-6.5475000000000004E-3</v>
      </c>
      <c r="P244" s="20">
        <f t="shared" si="13"/>
        <v>3.0570200000000009E-2</v>
      </c>
      <c r="Q244" s="20">
        <f t="shared" si="14"/>
        <v>-3.8743025999999993E-2</v>
      </c>
      <c r="R244" s="20">
        <f t="shared" si="15"/>
        <v>-4.1908366666666669E-2</v>
      </c>
      <c r="S244" s="20">
        <v>239</v>
      </c>
    </row>
    <row r="245" spans="1:19" x14ac:dyDescent="0.15">
      <c r="A245" s="79">
        <f>Q6_ii_RawData!A224</f>
        <v>45398</v>
      </c>
      <c r="B245" s="45">
        <f>$B$11*Q6_ii_RawData!B224+$B$12*Q6_ii_RawData!C224+$B$13*Q6_ii_RawData!D224+$B$14*Q6_ii_RawData!E224+$B$15*Q6_ii_RawData!F224+$B$16*Q6_ii_RawData!G224+$B$17*Q6_ii_RawData!H224+$B$18*Q6_ii_RawData!I224+$B$19*Q6_ii_RawData!J224+$B$20*Q6_ii_RawData!K224</f>
        <v>-1.6111999999999986E-3</v>
      </c>
      <c r="P245" s="20">
        <f t="shared" si="13"/>
        <v>3.0691599999999999E-2</v>
      </c>
      <c r="Q245" s="20">
        <f t="shared" si="14"/>
        <v>-3.8743025999999993E-2</v>
      </c>
      <c r="R245" s="20">
        <f t="shared" si="15"/>
        <v>-4.1908366666666669E-2</v>
      </c>
      <c r="S245" s="20">
        <v>240</v>
      </c>
    </row>
    <row r="246" spans="1:19" x14ac:dyDescent="0.15">
      <c r="A246" s="79">
        <f>Q6_ii_RawData!A225</f>
        <v>45399</v>
      </c>
      <c r="B246" s="45">
        <f>$B$11*Q6_ii_RawData!B225+$B$12*Q6_ii_RawData!C225+$B$13*Q6_ii_RawData!D225+$B$14*Q6_ii_RawData!E225+$B$15*Q6_ii_RawData!F225+$B$16*Q6_ii_RawData!G225+$B$17*Q6_ii_RawData!H225+$B$18*Q6_ii_RawData!I225+$B$19*Q6_ii_RawData!J225+$B$20*Q6_ii_RawData!K225</f>
        <v>1.09745E-2</v>
      </c>
      <c r="P246" s="20">
        <f t="shared" si="13"/>
        <v>3.0804300000000007E-2</v>
      </c>
      <c r="Q246" s="20">
        <f t="shared" si="14"/>
        <v>-3.8743025999999993E-2</v>
      </c>
      <c r="R246" s="20">
        <f t="shared" si="15"/>
        <v>-4.1908366666666669E-2</v>
      </c>
      <c r="S246" s="20">
        <v>241</v>
      </c>
    </row>
    <row r="247" spans="1:19" x14ac:dyDescent="0.15">
      <c r="A247" s="79">
        <f>Q6_ii_RawData!A226</f>
        <v>45400</v>
      </c>
      <c r="B247" s="45">
        <f>$B$11*Q6_ii_RawData!B226+$B$12*Q6_ii_RawData!C226+$B$13*Q6_ii_RawData!D226+$B$14*Q6_ii_RawData!E226+$B$15*Q6_ii_RawData!F226+$B$16*Q6_ii_RawData!G226+$B$17*Q6_ii_RawData!H226+$B$18*Q6_ii_RawData!I226+$B$19*Q6_ii_RawData!J226+$B$20*Q6_ii_RawData!K226</f>
        <v>-2.1203099999999999E-2</v>
      </c>
      <c r="P247" s="20">
        <f t="shared" si="13"/>
        <v>3.3204400000000002E-2</v>
      </c>
      <c r="Q247" s="20">
        <f t="shared" si="14"/>
        <v>-3.8743025999999993E-2</v>
      </c>
      <c r="R247" s="20">
        <f t="shared" si="15"/>
        <v>-4.1908366666666669E-2</v>
      </c>
      <c r="S247" s="20">
        <v>242</v>
      </c>
    </row>
    <row r="248" spans="1:19" x14ac:dyDescent="0.15">
      <c r="A248" s="79">
        <f>Q6_ii_RawData!A227</f>
        <v>45401</v>
      </c>
      <c r="B248" s="45">
        <f>$B$11*Q6_ii_RawData!B227+$B$12*Q6_ii_RawData!C227+$B$13*Q6_ii_RawData!D227+$B$14*Q6_ii_RawData!E227+$B$15*Q6_ii_RawData!F227+$B$16*Q6_ii_RawData!G227+$B$17*Q6_ii_RawData!H227+$B$18*Q6_ii_RawData!I227+$B$19*Q6_ii_RawData!J227+$B$20*Q6_ii_RawData!K227</f>
        <v>2.6293500000000001E-2</v>
      </c>
      <c r="P248" s="20">
        <f t="shared" si="13"/>
        <v>3.3860899999999999E-2</v>
      </c>
      <c r="Q248" s="20">
        <f t="shared" si="14"/>
        <v>-3.8743025999999993E-2</v>
      </c>
      <c r="R248" s="20">
        <f t="shared" si="15"/>
        <v>-4.1908366666666669E-2</v>
      </c>
      <c r="S248" s="20">
        <v>243</v>
      </c>
    </row>
    <row r="249" spans="1:19" x14ac:dyDescent="0.15">
      <c r="A249" s="79">
        <f>Q6_ii_RawData!A228</f>
        <v>45404</v>
      </c>
      <c r="B249" s="45">
        <f>$B$11*Q6_ii_RawData!B228+$B$12*Q6_ii_RawData!C228+$B$13*Q6_ii_RawData!D228+$B$14*Q6_ii_RawData!E228+$B$15*Q6_ii_RawData!F228+$B$16*Q6_ii_RawData!G228+$B$17*Q6_ii_RawData!H228+$B$18*Q6_ii_RawData!I228+$B$19*Q6_ii_RawData!J228+$B$20*Q6_ii_RawData!K228</f>
        <v>2.8032700000000001E-2</v>
      </c>
      <c r="P249" s="20">
        <f t="shared" si="13"/>
        <v>3.6161899999999997E-2</v>
      </c>
      <c r="Q249" s="20">
        <f t="shared" si="14"/>
        <v>-3.8743025999999993E-2</v>
      </c>
      <c r="R249" s="20">
        <f t="shared" si="15"/>
        <v>-4.1908366666666669E-2</v>
      </c>
      <c r="S249" s="20">
        <v>244</v>
      </c>
    </row>
    <row r="250" spans="1:19" x14ac:dyDescent="0.15">
      <c r="A250" s="79">
        <f>Q6_ii_RawData!A229</f>
        <v>45405</v>
      </c>
      <c r="B250" s="45">
        <f>$B$11*Q6_ii_RawData!B229+$B$12*Q6_ii_RawData!C229+$B$13*Q6_ii_RawData!D229+$B$14*Q6_ii_RawData!E229+$B$15*Q6_ii_RawData!F229+$B$16*Q6_ii_RawData!G229+$B$17*Q6_ii_RawData!H229+$B$18*Q6_ii_RawData!I229+$B$19*Q6_ii_RawData!J229+$B$20*Q6_ii_RawData!K229</f>
        <v>-1.02448E-2</v>
      </c>
      <c r="P250" s="20">
        <f t="shared" si="13"/>
        <v>3.6938100000000001E-2</v>
      </c>
      <c r="Q250" s="20">
        <f t="shared" si="14"/>
        <v>-3.8743025999999993E-2</v>
      </c>
      <c r="R250" s="20">
        <f t="shared" si="15"/>
        <v>-4.1908366666666669E-2</v>
      </c>
      <c r="S250" s="20">
        <v>245</v>
      </c>
    </row>
    <row r="251" spans="1:19" x14ac:dyDescent="0.15">
      <c r="A251" s="79">
        <f>Q6_ii_RawData!A230</f>
        <v>45406</v>
      </c>
      <c r="B251" s="45">
        <f>$B$11*Q6_ii_RawData!B230+$B$12*Q6_ii_RawData!C230+$B$13*Q6_ii_RawData!D230+$B$14*Q6_ii_RawData!E230+$B$15*Q6_ii_RawData!F230+$B$16*Q6_ii_RawData!G230+$B$17*Q6_ii_RawData!H230+$B$18*Q6_ii_RawData!I230+$B$19*Q6_ii_RawData!J230+$B$20*Q6_ii_RawData!K230</f>
        <v>4.7412999999999995E-3</v>
      </c>
      <c r="P251" s="20">
        <f t="shared" si="13"/>
        <v>3.7443700000000003E-2</v>
      </c>
      <c r="Q251" s="20">
        <f t="shared" si="14"/>
        <v>-3.8743025999999993E-2</v>
      </c>
      <c r="R251" s="20">
        <f t="shared" si="15"/>
        <v>-4.1908366666666669E-2</v>
      </c>
      <c r="S251" s="20">
        <v>246</v>
      </c>
    </row>
    <row r="252" spans="1:19" x14ac:dyDescent="0.15">
      <c r="A252" s="79">
        <f>Q6_ii_RawData!A231</f>
        <v>45407</v>
      </c>
      <c r="B252" s="45">
        <f>$B$11*Q6_ii_RawData!B231+$B$12*Q6_ii_RawData!C231+$B$13*Q6_ii_RawData!D231+$B$14*Q6_ii_RawData!E231+$B$15*Q6_ii_RawData!F231+$B$16*Q6_ii_RawData!G231+$B$17*Q6_ii_RawData!H231+$B$18*Q6_ii_RawData!I231+$B$19*Q6_ii_RawData!J231+$B$20*Q6_ii_RawData!K231</f>
        <v>4.8932200000000009E-2</v>
      </c>
      <c r="P252" s="20">
        <f t="shared" si="13"/>
        <v>3.7755400000000008E-2</v>
      </c>
      <c r="Q252" s="20">
        <f t="shared" si="14"/>
        <v>-3.8743025999999993E-2</v>
      </c>
      <c r="R252" s="20">
        <f t="shared" si="15"/>
        <v>-4.1908366666666669E-2</v>
      </c>
      <c r="S252" s="20">
        <v>247</v>
      </c>
    </row>
    <row r="253" spans="1:19" x14ac:dyDescent="0.15">
      <c r="A253" s="79">
        <f>Q6_ii_RawData!A232</f>
        <v>45408</v>
      </c>
      <c r="B253" s="45">
        <f>$B$11*Q6_ii_RawData!B232+$B$12*Q6_ii_RawData!C232+$B$13*Q6_ii_RawData!D232+$B$14*Q6_ii_RawData!E232+$B$15*Q6_ii_RawData!F232+$B$16*Q6_ii_RawData!G232+$B$17*Q6_ii_RawData!H232+$B$18*Q6_ii_RawData!I232+$B$19*Q6_ii_RawData!J232+$B$20*Q6_ii_RawData!K232</f>
        <v>-1.2153000000000003E-3</v>
      </c>
      <c r="P253" s="20">
        <f t="shared" si="13"/>
        <v>3.9241999999999999E-2</v>
      </c>
      <c r="Q253" s="20">
        <f t="shared" si="14"/>
        <v>-3.8743025999999993E-2</v>
      </c>
      <c r="R253" s="20">
        <f t="shared" si="15"/>
        <v>-4.1908366666666669E-2</v>
      </c>
      <c r="S253" s="20">
        <v>248</v>
      </c>
    </row>
    <row r="254" spans="1:19" x14ac:dyDescent="0.15">
      <c r="A254" s="79">
        <f>Q6_ii_RawData!A233</f>
        <v>45411</v>
      </c>
      <c r="B254" s="45">
        <f>$B$11*Q6_ii_RawData!B233+$B$12*Q6_ii_RawData!C233+$B$13*Q6_ii_RawData!D233+$B$14*Q6_ii_RawData!E233+$B$15*Q6_ii_RawData!F233+$B$16*Q6_ii_RawData!G233+$B$17*Q6_ii_RawData!H233+$B$18*Q6_ii_RawData!I233+$B$19*Q6_ii_RawData!J233+$B$20*Q6_ii_RawData!K233</f>
        <v>-2.8396899999999999E-2</v>
      </c>
      <c r="P254" s="20">
        <f t="shared" si="13"/>
        <v>4.8932200000000009E-2</v>
      </c>
      <c r="Q254" s="20">
        <f t="shared" si="14"/>
        <v>-3.8743025999999993E-2</v>
      </c>
      <c r="R254" s="20">
        <f t="shared" si="15"/>
        <v>-4.1908366666666669E-2</v>
      </c>
      <c r="S254" s="20">
        <v>249</v>
      </c>
    </row>
    <row r="255" spans="1:19" x14ac:dyDescent="0.15">
      <c r="A255" s="79">
        <f>Q6_ii_RawData!A234</f>
        <v>45412</v>
      </c>
      <c r="B255" s="45">
        <f>$B$11*Q6_ii_RawData!B234+$B$12*Q6_ii_RawData!C234+$B$13*Q6_ii_RawData!D234+$B$14*Q6_ii_RawData!E234+$B$15*Q6_ii_RawData!F234+$B$16*Q6_ii_RawData!G234+$B$17*Q6_ii_RawData!H234+$B$18*Q6_ii_RawData!I234+$B$19*Q6_ii_RawData!J234+$B$20*Q6_ii_RawData!K234</f>
        <v>1.4523300000000001E-2</v>
      </c>
      <c r="P255" s="20">
        <f t="shared" si="13"/>
        <v>5.0713000000000001E-2</v>
      </c>
      <c r="Q255" s="20">
        <f t="shared" si="14"/>
        <v>-3.8743025999999993E-2</v>
      </c>
      <c r="R255" s="20">
        <f t="shared" si="15"/>
        <v>-4.1908366666666669E-2</v>
      </c>
      <c r="S255" s="20">
        <v>250</v>
      </c>
    </row>
    <row r="256" spans="1:19" x14ac:dyDescent="0.15">
      <c r="A256" s="79">
        <f>Q6_ii_RawData!A235</f>
        <v>45413</v>
      </c>
      <c r="B256" s="45">
        <f>$B$11*Q6_ii_RawData!B235+$B$12*Q6_ii_RawData!C235+$B$13*Q6_ii_RawData!D235+$B$14*Q6_ii_RawData!E235+$B$15*Q6_ii_RawData!F235+$B$16*Q6_ii_RawData!G235+$B$17*Q6_ii_RawData!H235+$B$18*Q6_ii_RawData!I235+$B$19*Q6_ii_RawData!J235+$B$20*Q6_ii_RawData!K235</f>
        <v>2.4266000000000003E-2</v>
      </c>
      <c r="P256" s="20">
        <f t="shared" si="13"/>
        <v>5.4319800000000001E-2</v>
      </c>
      <c r="Q256" s="20">
        <f t="shared" si="14"/>
        <v>-3.8743025999999993E-2</v>
      </c>
      <c r="R256" s="20">
        <f t="shared" si="15"/>
        <v>-4.1908366666666669E-2</v>
      </c>
      <c r="S256" s="20">
        <v>251</v>
      </c>
    </row>
    <row r="257" spans="1:19" x14ac:dyDescent="0.15">
      <c r="A257" s="79">
        <f>Q6_ii_RawData!A236</f>
        <v>45414</v>
      </c>
      <c r="B257" s="45">
        <f>$B$11*Q6_ii_RawData!B236+$B$12*Q6_ii_RawData!C236+$B$13*Q6_ii_RawData!D236+$B$14*Q6_ii_RawData!E236+$B$15*Q6_ii_RawData!F236+$B$16*Q6_ii_RawData!G236+$B$17*Q6_ii_RawData!H236+$B$18*Q6_ii_RawData!I236+$B$19*Q6_ii_RawData!J236+$B$20*Q6_ii_RawData!K236</f>
        <v>1.5059200000000002E-2</v>
      </c>
      <c r="P257" s="20">
        <f t="shared" si="13"/>
        <v>0.43701430000000008</v>
      </c>
      <c r="Q257" s="20">
        <f t="shared" si="14"/>
        <v>-3.8743025999999993E-2</v>
      </c>
      <c r="R257" s="20">
        <f t="shared" si="15"/>
        <v>-4.1908366666666669E-2</v>
      </c>
      <c r="S257" s="20">
        <v>252</v>
      </c>
    </row>
    <row r="258" spans="1:19" x14ac:dyDescent="0.15">
      <c r="A258" s="79">
        <f>Q6_ii_RawData!A237</f>
        <v>45415</v>
      </c>
      <c r="B258" s="45">
        <f>$B$11*Q6_ii_RawData!B237+$B$12*Q6_ii_RawData!C237+$B$13*Q6_ii_RawData!D237+$B$14*Q6_ii_RawData!E237+$B$15*Q6_ii_RawData!F237+$B$16*Q6_ii_RawData!G237+$B$17*Q6_ii_RawData!H237+$B$18*Q6_ii_RawData!I237+$B$19*Q6_ii_RawData!J237+$B$20*Q6_ii_RawData!K237</f>
        <v>3.6938100000000001E-2</v>
      </c>
    </row>
    <row r="259" spans="1:19" x14ac:dyDescent="0.15">
      <c r="A259" s="79">
        <f>Q6_ii_RawData!A238</f>
        <v>45418</v>
      </c>
      <c r="B259" s="45">
        <f>$B$11*Q6_ii_RawData!B238+$B$12*Q6_ii_RawData!C238+$B$13*Q6_ii_RawData!D238+$B$14*Q6_ii_RawData!E238+$B$15*Q6_ii_RawData!F238+$B$16*Q6_ii_RawData!G238+$B$17*Q6_ii_RawData!H238+$B$18*Q6_ii_RawData!I238+$B$19*Q6_ii_RawData!J238+$B$20*Q6_ii_RawData!K238</f>
        <v>-6.4996999999999989E-3</v>
      </c>
    </row>
    <row r="260" spans="1:19" x14ac:dyDescent="0.15">
      <c r="A260" s="79">
        <f>Q6_ii_RawData!A239</f>
        <v>45419</v>
      </c>
      <c r="B260" s="45">
        <f>$B$11*Q6_ii_RawData!B239+$B$12*Q6_ii_RawData!C239+$B$13*Q6_ii_RawData!D239+$B$14*Q6_ii_RawData!E239+$B$15*Q6_ii_RawData!F239+$B$16*Q6_ii_RawData!G239+$B$17*Q6_ii_RawData!H239+$B$18*Q6_ii_RawData!I239+$B$19*Q6_ii_RawData!J239+$B$20*Q6_ii_RawData!K239</f>
        <v>-1.1769399999999999E-2</v>
      </c>
    </row>
    <row r="261" spans="1:19" x14ac:dyDescent="0.15">
      <c r="A261" s="79">
        <f>Q6_ii_RawData!A240</f>
        <v>45420</v>
      </c>
      <c r="B261" s="45">
        <f>$B$11*Q6_ii_RawData!B240+$B$12*Q6_ii_RawData!C240+$B$13*Q6_ii_RawData!D240+$B$14*Q6_ii_RawData!E240+$B$15*Q6_ii_RawData!F240+$B$16*Q6_ii_RawData!G240+$B$17*Q6_ii_RawData!H240+$B$18*Q6_ii_RawData!I240+$B$19*Q6_ii_RawData!J240+$B$20*Q6_ii_RawData!K240</f>
        <v>2.1116999999999998E-3</v>
      </c>
    </row>
    <row r="262" spans="1:19" x14ac:dyDescent="0.15">
      <c r="A262" s="79">
        <f>Q6_ii_RawData!A241</f>
        <v>45421</v>
      </c>
      <c r="B262" s="45">
        <f>$B$11*Q6_ii_RawData!B241+$B$12*Q6_ii_RawData!C241+$B$13*Q6_ii_RawData!D241+$B$14*Q6_ii_RawData!E241+$B$15*Q6_ii_RawData!F241+$B$16*Q6_ii_RawData!G241+$B$17*Q6_ii_RawData!H241+$B$18*Q6_ii_RawData!I241+$B$19*Q6_ii_RawData!J241+$B$20*Q6_ii_RawData!K241</f>
        <v>-3.5616299999999997E-2</v>
      </c>
    </row>
    <row r="263" spans="1:19" x14ac:dyDescent="0.15">
      <c r="A263" s="79">
        <f>Q6_ii_RawData!A242</f>
        <v>45422</v>
      </c>
      <c r="B263" s="45">
        <f>$B$11*Q6_ii_RawData!B242+$B$12*Q6_ii_RawData!C242+$B$13*Q6_ii_RawData!D242+$B$14*Q6_ii_RawData!E242+$B$15*Q6_ii_RawData!F242+$B$16*Q6_ii_RawData!G242+$B$17*Q6_ii_RawData!H242+$B$18*Q6_ii_RawData!I242+$B$19*Q6_ii_RawData!J242+$B$20*Q6_ii_RawData!K242</f>
        <v>1.4654500000000001E-2</v>
      </c>
    </row>
    <row r="264" spans="1:19" x14ac:dyDescent="0.15">
      <c r="A264" s="79">
        <f>Q6_ii_RawData!A243</f>
        <v>45425</v>
      </c>
      <c r="B264" s="45">
        <f>$B$11*Q6_ii_RawData!B243+$B$12*Q6_ii_RawData!C243+$B$13*Q6_ii_RawData!D243+$B$14*Q6_ii_RawData!E243+$B$15*Q6_ii_RawData!F243+$B$16*Q6_ii_RawData!G243+$B$17*Q6_ii_RawData!H243+$B$18*Q6_ii_RawData!I243+$B$19*Q6_ii_RawData!J243+$B$20*Q6_ii_RawData!K243</f>
        <v>1.9551100000000002E-2</v>
      </c>
    </row>
    <row r="265" spans="1:19" x14ac:dyDescent="0.15">
      <c r="A265" s="79">
        <f>Q6_ii_RawData!A244</f>
        <v>45426</v>
      </c>
      <c r="B265" s="45">
        <f>$B$11*Q6_ii_RawData!B244+$B$12*Q6_ii_RawData!C244+$B$13*Q6_ii_RawData!D244+$B$14*Q6_ii_RawData!E244+$B$15*Q6_ii_RawData!F244+$B$16*Q6_ii_RawData!G244+$B$17*Q6_ii_RawData!H244+$B$18*Q6_ii_RawData!I244+$B$19*Q6_ii_RawData!J244+$B$20*Q6_ii_RawData!K244</f>
        <v>7.9025999999999992E-3</v>
      </c>
    </row>
    <row r="266" spans="1:19" x14ac:dyDescent="0.15">
      <c r="A266" s="79">
        <f>Q6_ii_RawData!A245</f>
        <v>45427</v>
      </c>
      <c r="B266" s="45">
        <f>$B$11*Q6_ii_RawData!B245+$B$12*Q6_ii_RawData!C245+$B$13*Q6_ii_RawData!D245+$B$14*Q6_ii_RawData!E245+$B$15*Q6_ii_RawData!F245+$B$16*Q6_ii_RawData!G245+$B$17*Q6_ii_RawData!H245+$B$18*Q6_ii_RawData!I245+$B$19*Q6_ii_RawData!J245+$B$20*Q6_ii_RawData!K245</f>
        <v>-8.7570000000000009E-3</v>
      </c>
    </row>
    <row r="267" spans="1:19" x14ac:dyDescent="0.15">
      <c r="A267" s="79">
        <f>Q6_ii_RawData!A246</f>
        <v>45428</v>
      </c>
      <c r="B267" s="45">
        <f>$B$11*Q6_ii_RawData!B246+$B$12*Q6_ii_RawData!C246+$B$13*Q6_ii_RawData!D246+$B$14*Q6_ii_RawData!E246+$B$15*Q6_ii_RawData!F246+$B$16*Q6_ii_RawData!G246+$B$17*Q6_ii_RawData!H246+$B$18*Q6_ii_RawData!I246+$B$19*Q6_ii_RawData!J246+$B$20*Q6_ii_RawData!K246</f>
        <v>-1.5259999999999991E-4</v>
      </c>
    </row>
    <row r="268" spans="1:19" x14ac:dyDescent="0.15">
      <c r="A268" s="79">
        <f>Q6_ii_RawData!A247</f>
        <v>45429</v>
      </c>
      <c r="B268" s="45">
        <f>$B$11*Q6_ii_RawData!B247+$B$12*Q6_ii_RawData!C247+$B$13*Q6_ii_RawData!D247+$B$14*Q6_ii_RawData!E247+$B$15*Q6_ii_RawData!F247+$B$16*Q6_ii_RawData!G247+$B$17*Q6_ii_RawData!H247+$B$18*Q6_ii_RawData!I247+$B$19*Q6_ii_RawData!J247+$B$20*Q6_ii_RawData!K247</f>
        <v>2.5899600000000002E-2</v>
      </c>
    </row>
    <row r="269" spans="1:19" x14ac:dyDescent="0.15">
      <c r="A269" s="79">
        <f>Q6_ii_RawData!A248</f>
        <v>45432</v>
      </c>
      <c r="B269" s="45">
        <f>$B$11*Q6_ii_RawData!B248+$B$12*Q6_ii_RawData!C248+$B$13*Q6_ii_RawData!D248+$B$14*Q6_ii_RawData!E248+$B$15*Q6_ii_RawData!F248+$B$16*Q6_ii_RawData!G248+$B$17*Q6_ii_RawData!H248+$B$18*Q6_ii_RawData!I248+$B$19*Q6_ii_RawData!J248+$B$20*Q6_ii_RawData!K248</f>
        <v>-1.0141900000000002E-2</v>
      </c>
    </row>
    <row r="270" spans="1:19" x14ac:dyDescent="0.15">
      <c r="A270" s="79">
        <f>Q6_ii_RawData!A249</f>
        <v>45433</v>
      </c>
      <c r="B270" s="45">
        <f>$B$11*Q6_ii_RawData!B249+$B$12*Q6_ii_RawData!C249+$B$13*Q6_ii_RawData!D249+$B$14*Q6_ii_RawData!E249+$B$15*Q6_ii_RawData!F249+$B$16*Q6_ii_RawData!G249+$B$17*Q6_ii_RawData!H249+$B$18*Q6_ii_RawData!I249+$B$19*Q6_ii_RawData!J249+$B$20*Q6_ii_RawData!K249</f>
        <v>-6.11E-3</v>
      </c>
    </row>
    <row r="271" spans="1:19" x14ac:dyDescent="0.15">
      <c r="A271" s="79">
        <f>Q6_ii_RawData!A250</f>
        <v>45434</v>
      </c>
      <c r="B271" s="45">
        <f>$B$11*Q6_ii_RawData!B250+$B$12*Q6_ii_RawData!C250+$B$13*Q6_ii_RawData!D250+$B$14*Q6_ii_RawData!E250+$B$15*Q6_ii_RawData!F250+$B$16*Q6_ii_RawData!G250+$B$17*Q6_ii_RawData!H250+$B$18*Q6_ii_RawData!I250+$B$19*Q6_ii_RawData!J250+$B$20*Q6_ii_RawData!K250</f>
        <v>-2.6473899999999998E-2</v>
      </c>
    </row>
    <row r="272" spans="1:19" x14ac:dyDescent="0.15">
      <c r="A272" s="79">
        <f>Q6_ii_RawData!A251</f>
        <v>45435</v>
      </c>
      <c r="B272" s="45">
        <f>$B$11*Q6_ii_RawData!B251+$B$12*Q6_ii_RawData!C251+$B$13*Q6_ii_RawData!D251+$B$14*Q6_ii_RawData!E251+$B$15*Q6_ii_RawData!F251+$B$16*Q6_ii_RawData!G251+$B$17*Q6_ii_RawData!H251+$B$18*Q6_ii_RawData!I251+$B$19*Q6_ii_RawData!J251+$B$20*Q6_ii_RawData!K251</f>
        <v>1.1087099999999999E-2</v>
      </c>
    </row>
    <row r="273" spans="1:12" x14ac:dyDescent="0.15">
      <c r="A273" s="79">
        <f>Q6_ii_RawData!A252</f>
        <v>45436</v>
      </c>
      <c r="B273" s="45">
        <f>$B$11*Q6_ii_RawData!B252+$B$12*Q6_ii_RawData!C252+$B$13*Q6_ii_RawData!D252+$B$14*Q6_ii_RawData!E252+$B$15*Q6_ii_RawData!F252+$B$16*Q6_ii_RawData!G252+$B$17*Q6_ii_RawData!H252+$B$18*Q6_ii_RawData!I252+$B$19*Q6_ii_RawData!J252+$B$20*Q6_ii_RawData!K252</f>
        <v>0.43701430000000008</v>
      </c>
    </row>
    <row r="274" spans="1:12" x14ac:dyDescent="0.15">
      <c r="A274" s="79">
        <f>Q6_ii_RawData!A253</f>
        <v>0</v>
      </c>
      <c r="B274" s="45">
        <f>$B$11*Q6_ii_RawData!B253+$B$12*Q6_ii_RawData!C253+$B$13*Q6_ii_RawData!D253+$B$14*Q6_ii_RawData!E253+$B$15*Q6_ii_RawData!F253+$B$16*Q6_ii_RawData!G253+$B$17*Q6_ii_RawData!H253+$B$18*Q6_ii_RawData!I253+$B$19*Q6_ii_RawData!J253+$B$20*Q6_ii_RawData!K253</f>
        <v>0</v>
      </c>
    </row>
    <row r="277" spans="1:12" ht="16.5" customHeight="1" x14ac:dyDescent="0.2">
      <c r="A277" s="99" t="s">
        <v>206</v>
      </c>
      <c r="B277" s="99"/>
      <c r="C277" s="99"/>
      <c r="D277" s="99"/>
      <c r="E277" s="99"/>
      <c r="F277" s="99"/>
      <c r="G277" s="99"/>
      <c r="H277" s="99"/>
      <c r="I277" s="99"/>
      <c r="J277" s="99"/>
      <c r="K277" s="99"/>
      <c r="L277" s="99"/>
    </row>
    <row r="278" spans="1:12" ht="13.5" customHeight="1" x14ac:dyDescent="0.15">
      <c r="A278" s="107" t="s">
        <v>227</v>
      </c>
      <c r="B278" s="98"/>
      <c r="C278" s="98"/>
      <c r="D278" s="98"/>
      <c r="E278" s="98"/>
      <c r="F278" s="98"/>
      <c r="G278" s="98"/>
      <c r="H278" s="98"/>
      <c r="I278" s="98"/>
      <c r="J278" s="98"/>
      <c r="K278" s="98"/>
      <c r="L278" s="98"/>
    </row>
    <row r="279" spans="1:12" x14ac:dyDescent="0.15">
      <c r="A279" s="98"/>
      <c r="B279" s="98"/>
      <c r="C279" s="98"/>
      <c r="D279" s="98"/>
      <c r="E279" s="98"/>
      <c r="F279" s="98"/>
      <c r="G279" s="98"/>
      <c r="H279" s="98"/>
      <c r="I279" s="98"/>
      <c r="J279" s="98"/>
      <c r="K279" s="98"/>
      <c r="L279" s="98"/>
    </row>
    <row r="280" spans="1:12" x14ac:dyDescent="0.15">
      <c r="A280" s="98"/>
      <c r="B280" s="98"/>
      <c r="C280" s="98"/>
      <c r="D280" s="98"/>
      <c r="E280" s="98"/>
      <c r="F280" s="98"/>
      <c r="G280" s="98"/>
      <c r="H280" s="98"/>
      <c r="I280" s="98"/>
      <c r="J280" s="98"/>
      <c r="K280" s="98"/>
      <c r="L280" s="98"/>
    </row>
    <row r="281" spans="1:12" x14ac:dyDescent="0.15">
      <c r="A281" s="98"/>
      <c r="B281" s="98"/>
      <c r="C281" s="98"/>
      <c r="D281" s="98"/>
      <c r="E281" s="98"/>
      <c r="F281" s="98"/>
      <c r="G281" s="98"/>
      <c r="H281" s="98"/>
      <c r="I281" s="98"/>
      <c r="J281" s="98"/>
      <c r="K281" s="98"/>
      <c r="L281" s="98"/>
    </row>
    <row r="282" spans="1:12" x14ac:dyDescent="0.15">
      <c r="A282" s="98"/>
      <c r="B282" s="98"/>
      <c r="C282" s="98"/>
      <c r="D282" s="98"/>
      <c r="E282" s="98"/>
      <c r="F282" s="98"/>
      <c r="G282" s="98"/>
      <c r="H282" s="98"/>
      <c r="I282" s="98"/>
      <c r="J282" s="98"/>
      <c r="K282" s="98"/>
      <c r="L282" s="98"/>
    </row>
    <row r="283" spans="1:12" x14ac:dyDescent="0.15">
      <c r="A283" s="98"/>
      <c r="B283" s="98"/>
      <c r="C283" s="98"/>
      <c r="D283" s="98"/>
      <c r="E283" s="98"/>
      <c r="F283" s="98"/>
      <c r="G283" s="98"/>
      <c r="H283" s="98"/>
      <c r="I283" s="98"/>
      <c r="J283" s="98"/>
      <c r="K283" s="98"/>
      <c r="L283" s="98"/>
    </row>
    <row r="284" spans="1:12" x14ac:dyDescent="0.15">
      <c r="A284" s="98"/>
      <c r="B284" s="98"/>
      <c r="C284" s="98"/>
      <c r="D284" s="98"/>
      <c r="E284" s="98"/>
      <c r="F284" s="98"/>
      <c r="G284" s="98"/>
      <c r="H284" s="98"/>
      <c r="I284" s="98"/>
      <c r="J284" s="98"/>
      <c r="K284" s="98"/>
      <c r="L284" s="98"/>
    </row>
    <row r="285" spans="1:12" x14ac:dyDescent="0.15">
      <c r="A285" s="98"/>
      <c r="B285" s="98"/>
      <c r="C285" s="98"/>
      <c r="D285" s="98"/>
      <c r="E285" s="98"/>
      <c r="F285" s="98"/>
      <c r="G285" s="98"/>
      <c r="H285" s="98"/>
      <c r="I285" s="98"/>
      <c r="J285" s="98"/>
      <c r="K285" s="98"/>
      <c r="L285" s="98"/>
    </row>
    <row r="286" spans="1:12" x14ac:dyDescent="0.15">
      <c r="A286" s="98"/>
      <c r="B286" s="98"/>
      <c r="C286" s="98"/>
      <c r="D286" s="98"/>
      <c r="E286" s="98"/>
      <c r="F286" s="98"/>
      <c r="G286" s="98"/>
      <c r="H286" s="98"/>
      <c r="I286" s="98"/>
      <c r="J286" s="98"/>
      <c r="K286" s="98"/>
      <c r="L286" s="98"/>
    </row>
    <row r="287" spans="1:12" x14ac:dyDescent="0.15">
      <c r="A287" s="98"/>
      <c r="B287" s="98"/>
      <c r="C287" s="98"/>
      <c r="D287" s="98"/>
      <c r="E287" s="98"/>
      <c r="F287" s="98"/>
      <c r="G287" s="98"/>
      <c r="H287" s="98"/>
      <c r="I287" s="98"/>
      <c r="J287" s="98"/>
      <c r="K287" s="98"/>
      <c r="L287" s="98"/>
    </row>
    <row r="288" spans="1:12" x14ac:dyDescent="0.15">
      <c r="A288" s="98"/>
      <c r="B288" s="98"/>
      <c r="C288" s="98"/>
      <c r="D288" s="98"/>
      <c r="E288" s="98"/>
      <c r="F288" s="98"/>
      <c r="G288" s="98"/>
      <c r="H288" s="98"/>
      <c r="I288" s="98"/>
      <c r="J288" s="98"/>
      <c r="K288" s="98"/>
      <c r="L288" s="98"/>
    </row>
    <row r="289" spans="1:12" x14ac:dyDescent="0.15">
      <c r="A289" s="98"/>
      <c r="B289" s="98"/>
      <c r="C289" s="98"/>
      <c r="D289" s="98"/>
      <c r="E289" s="98"/>
      <c r="F289" s="98"/>
      <c r="G289" s="98"/>
      <c r="H289" s="98"/>
      <c r="I289" s="98"/>
      <c r="J289" s="98"/>
      <c r="K289" s="98"/>
      <c r="L289" s="98"/>
    </row>
  </sheetData>
  <mergeCells count="5">
    <mergeCell ref="A1:L1"/>
    <mergeCell ref="J30:L30"/>
    <mergeCell ref="J31:L38"/>
    <mergeCell ref="A277:L277"/>
    <mergeCell ref="A278:L289"/>
  </mergeCells>
  <conditionalFormatting sqref="U11:V20 F11:L20">
    <cfRule type="colorScale" priority="3">
      <colorScale>
        <cfvo type="min"/>
        <cfvo type="percentile" val="50"/>
        <cfvo type="max"/>
        <color rgb="FFFFF2F2"/>
        <color rgb="FFFFF7BF"/>
        <color rgb="FFC6E0B4"/>
      </colorScale>
    </cfRule>
  </conditionalFormatting>
  <pageMargins left="0.7" right="0.7" top="0.75" bottom="0.75"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N48"/>
  <sheetViews>
    <sheetView showGridLines="0" topLeftCell="A25" zoomScaleNormal="100" workbookViewId="0">
      <selection activeCell="A34" sqref="A34:K48"/>
    </sheetView>
  </sheetViews>
  <sheetFormatPr baseColWidth="10" defaultColWidth="9.1640625" defaultRowHeight="14" x14ac:dyDescent="0.15"/>
  <cols>
    <col min="1" max="1" width="18" style="20" customWidth="1"/>
    <col min="2" max="10" width="14" style="20" customWidth="1"/>
    <col min="11" max="11" width="34" style="20" customWidth="1"/>
    <col min="12" max="12" width="9.1640625" style="20"/>
    <col min="13" max="13" width="14.5" style="20" customWidth="1"/>
    <col min="14" max="14" width="12.5" style="20" customWidth="1"/>
    <col min="15" max="16384" width="9.1640625" style="20"/>
  </cols>
  <sheetData>
    <row r="1" spans="1:14" ht="24" customHeight="1" x14ac:dyDescent="0.15">
      <c r="A1" s="103" t="s">
        <v>207</v>
      </c>
      <c r="B1" s="103"/>
      <c r="C1" s="103"/>
      <c r="D1" s="103"/>
      <c r="E1" s="103"/>
      <c r="F1" s="103"/>
      <c r="G1" s="103"/>
      <c r="H1" s="103"/>
      <c r="I1" s="103"/>
      <c r="J1" s="103"/>
      <c r="K1" s="103"/>
    </row>
    <row r="2" spans="1:14" x14ac:dyDescent="0.15">
      <c r="A2" s="21"/>
      <c r="B2" s="21"/>
      <c r="C2" s="21"/>
      <c r="D2" s="21"/>
      <c r="E2" s="21"/>
      <c r="F2" s="21"/>
      <c r="G2" s="21"/>
      <c r="H2" s="21"/>
      <c r="I2" s="21"/>
      <c r="J2" s="21"/>
      <c r="K2" s="21"/>
    </row>
    <row r="3" spans="1:14" x14ac:dyDescent="0.15">
      <c r="A3" s="21"/>
      <c r="B3" s="21"/>
      <c r="C3" s="21"/>
      <c r="D3" s="21"/>
      <c r="E3" s="21"/>
      <c r="F3" s="21"/>
      <c r="G3" s="21"/>
      <c r="H3" s="21"/>
      <c r="I3" s="21"/>
      <c r="J3" s="21"/>
      <c r="K3" s="21"/>
    </row>
    <row r="4" spans="1:14" x14ac:dyDescent="0.15">
      <c r="A4" s="21"/>
      <c r="B4" s="21"/>
      <c r="C4" s="21"/>
      <c r="D4" s="21"/>
      <c r="E4" s="21"/>
      <c r="F4" s="21"/>
      <c r="G4" s="21"/>
      <c r="H4" s="21"/>
      <c r="I4" s="21"/>
      <c r="J4" s="21"/>
      <c r="K4" s="21"/>
    </row>
    <row r="5" spans="1:14" ht="16.5" customHeight="1" x14ac:dyDescent="0.15">
      <c r="A5" s="24" t="s">
        <v>58</v>
      </c>
      <c r="B5" s="21"/>
      <c r="C5" s="21"/>
      <c r="D5" s="22" t="s">
        <v>154</v>
      </c>
      <c r="E5" s="22" t="s">
        <v>208</v>
      </c>
      <c r="F5" s="21"/>
      <c r="G5" s="22" t="s">
        <v>209</v>
      </c>
      <c r="H5" s="22" t="s">
        <v>208</v>
      </c>
      <c r="I5" s="21"/>
      <c r="J5" s="21"/>
      <c r="K5" s="21"/>
      <c r="M5" s="80" t="s">
        <v>210</v>
      </c>
      <c r="N5" s="80" t="s">
        <v>208</v>
      </c>
    </row>
    <row r="6" spans="1:14" x14ac:dyDescent="0.15">
      <c r="A6" s="21" t="s">
        <v>211</v>
      </c>
      <c r="B6" s="81">
        <v>42</v>
      </c>
      <c r="C6" s="21"/>
      <c r="D6" s="48">
        <v>0.2</v>
      </c>
      <c r="E6" s="33">
        <f t="shared" ref="E6:E12" si="0">($B$6 * EXP(-$B$9 * $B$12) * _xlfn.SINGLE(_xlfn.NORM.S.DIST((LN($B$6 / $B$7) + ($B$8 - $B$9 + 0.5 * D6 ^ 2) * $B$12) / (D6 * SQRT($B$12)), TRUE())) - $B$7 * EXP(-$B$8 * $B$12) * _xlfn.SINGLE(_xlfn.NORM.S.DIST((LN($B$6 / $B$7) + ($B$8 - $B$9 - 0.5 * D6 ^ 2) * $B$12) / (D6 * SQRT($B$12)), TRUE()))) * EXP(-$B$14 * $B$13)</f>
        <v>9.6069101790425275</v>
      </c>
      <c r="F6" s="21"/>
      <c r="G6" s="21">
        <v>4</v>
      </c>
      <c r="H6" s="33">
        <f>($B$6 * EXP(-$B$9 * G6) * _xlfn.SINGLE(_xlfn.NORM.S.DIST((LN($B$6 / $B$7) + ($B$8 - $B$9 + 0.5 * $B$10 ^ 2) * G6) / ($B$10 * SQRT(G6)), TRUE())) - $B$7 * EXP(-$B$8 * G6) * _xlfn.SINGLE(_xlfn.NORM.S.DIST((LN($B$6 / $B$7) + ($B$8 - $B$9 - 0.5 * $B$10 ^ 2) * G6) / ($B$10 * SQRT(G6)), TRUE()))) * EXP(-$B$14 * $B$13)</f>
        <v>11.289314172650149</v>
      </c>
      <c r="I6" s="90" t="s">
        <v>212</v>
      </c>
      <c r="J6" s="90"/>
      <c r="K6" s="90"/>
      <c r="M6" s="20">
        <v>1</v>
      </c>
      <c r="N6" s="20">
        <f t="shared" ref="N6:N11" si="1">($B$6 * EXP(-$B$9 * $B$12) * _xlfn.SINGLE(_xlfn.NORM.S.DIST((LN($B$6 / $B$7) + ($B$8 - $B$9 + 0.5 * $B$10 ^ 2) * $B$12) / ($B$10 * SQRT($B$12)), TRUE())) - $B$7 * EXP(-$B$8 * $B$12) * _xlfn.SINGLE(_xlfn.NORM.S.DIST((LN($B$6 / $B$7) + ($B$8 - $B$9 - 0.5 * $B$10 ^ 2) * $B$12) / ($B$10 * SQRT($B$12)), TRUE()))) * EXP(-$B$14 * M6)</f>
        <v>14.764033093337224</v>
      </c>
    </row>
    <row r="7" spans="1:14" ht="14" customHeight="1" x14ac:dyDescent="0.15">
      <c r="A7" s="21" t="s">
        <v>213</v>
      </c>
      <c r="B7" s="81">
        <v>40</v>
      </c>
      <c r="C7" s="21"/>
      <c r="D7" s="48">
        <v>0.25</v>
      </c>
      <c r="E7" s="33">
        <f t="shared" si="0"/>
        <v>11.102896282216426</v>
      </c>
      <c r="F7" s="21"/>
      <c r="G7" s="21">
        <v>5</v>
      </c>
      <c r="H7" s="33">
        <f>($B$6 * EXP(-$B$9 * G7) * _xlfn.SINGLE(_xlfn.NORM.S.DIST((LN($B$6 / $B$7) + ($B$8 - $B$9 + 0.5 * $B$10 ^ 2) * G7) / ($B$10 * SQRT(G7)), TRUE())) - $B$7 * EXP(-$B$8 * G7) * _xlfn.SINGLE(_xlfn.NORM.S.DIST((LN($B$6 / $B$7) + ($B$8 - $B$9 - 0.5 * $B$10 ^ 2) * G7) / ($B$10 * SQRT(G7)), TRUE()))) * EXP(-$B$14 * $B$13)</f>
        <v>12.391751383341694</v>
      </c>
      <c r="I7" s="100" t="s">
        <v>214</v>
      </c>
      <c r="J7" s="100"/>
      <c r="K7" s="100"/>
      <c r="M7" s="20">
        <v>2</v>
      </c>
      <c r="N7" s="20">
        <f t="shared" si="1"/>
        <v>14.256230320732378</v>
      </c>
    </row>
    <row r="8" spans="1:14" x14ac:dyDescent="0.15">
      <c r="A8" s="21" t="s">
        <v>160</v>
      </c>
      <c r="B8" s="82">
        <v>3.1E-2</v>
      </c>
      <c r="C8" s="21"/>
      <c r="D8" s="48">
        <v>0.3</v>
      </c>
      <c r="E8" s="33">
        <f t="shared" si="0"/>
        <v>12.591294552465081</v>
      </c>
      <c r="F8" s="21"/>
      <c r="G8" s="21">
        <v>6</v>
      </c>
      <c r="H8" s="33">
        <f>($B$6 * EXP(-$B$9 * G8) * _xlfn.SINGLE(_xlfn.NORM.S.DIST((LN($B$6 / $B$7) + ($B$8 - $B$9 + 0.5 * $B$10 ^ 2) * G8) / ($B$10 * SQRT(G8)), TRUE())) - $B$7 * EXP(-$B$8 * G8) * _xlfn.SINGLE(_xlfn.NORM.S.DIST((LN($B$6 / $B$7) + ($B$8 - $B$9 - 0.5 * $B$10 ^ 2) * G8) / ($B$10 * SQRT(G8)), TRUE()))) * EXP(-$B$14 * $B$13)</f>
        <v>13.339457122819363</v>
      </c>
      <c r="I8" s="100"/>
      <c r="J8" s="100"/>
      <c r="K8" s="100"/>
      <c r="M8" s="20">
        <v>3</v>
      </c>
      <c r="N8" s="20">
        <f t="shared" si="1"/>
        <v>13.765893213114527</v>
      </c>
    </row>
    <row r="9" spans="1:14" x14ac:dyDescent="0.15">
      <c r="A9" s="21" t="s">
        <v>215</v>
      </c>
      <c r="B9" s="82">
        <v>1.2E-2</v>
      </c>
      <c r="C9" s="21"/>
      <c r="D9" s="48">
        <v>0.35</v>
      </c>
      <c r="E9" s="33">
        <f t="shared" si="0"/>
        <v>14.056557922306817</v>
      </c>
      <c r="F9" s="21"/>
      <c r="G9" s="21">
        <v>7</v>
      </c>
      <c r="H9" s="33">
        <f>($B$6 * EXP(-$B$9 * G9) * _xlfn.SINGLE(_xlfn.NORM.S.DIST((LN($B$6 / $B$7) + ($B$8 - $B$9 + 0.5 * $B$10 ^ 2) * G9) / ($B$10 * SQRT(G9)), TRUE())) - $B$7 * EXP(-$B$8 * G9) * _xlfn.SINGLE(_xlfn.NORM.S.DIST((LN($B$6 / $B$7) + ($B$8 - $B$9 - 0.5 * $B$10 ^ 2) * G9) / ($B$10 * SQRT(G9)), TRUE()))) * EXP(-$B$14 * $B$13)</f>
        <v>14.164851407648449</v>
      </c>
      <c r="I9" s="100"/>
      <c r="J9" s="100"/>
      <c r="K9" s="100"/>
      <c r="M9" s="20">
        <v>4</v>
      </c>
      <c r="N9" s="20">
        <f t="shared" si="1"/>
        <v>13.292421046206663</v>
      </c>
    </row>
    <row r="10" spans="1:14" x14ac:dyDescent="0.15">
      <c r="A10" s="21" t="s">
        <v>154</v>
      </c>
      <c r="B10" s="82">
        <v>0.34</v>
      </c>
      <c r="C10" s="21"/>
      <c r="D10" s="48">
        <v>0.4</v>
      </c>
      <c r="E10" s="33">
        <f t="shared" si="0"/>
        <v>15.488521071551217</v>
      </c>
      <c r="F10" s="21"/>
      <c r="G10" s="21">
        <v>8</v>
      </c>
      <c r="H10" s="33">
        <f>($B$6 * EXP(-$B$9 * G10) * _xlfn.SINGLE(_xlfn.NORM.S.DIST((LN($B$6 / $B$7) + ($B$8 - $B$9 + 0.5 * $B$10 ^ 2) * G10) / ($B$10 * SQRT(G10)), TRUE())) - $B$7 * EXP(-$B$8 * G10) * _xlfn.SINGLE(_xlfn.NORM.S.DIST((LN($B$6 / $B$7) + ($B$8 - $B$9 - 0.5 * $B$10 ^ 2) * G10) / ($B$10 * SQRT(G10)), TRUE()))) * EXP(-$B$14 * $B$13)</f>
        <v>14.889849047398778</v>
      </c>
      <c r="I10" s="100"/>
      <c r="J10" s="100"/>
      <c r="K10" s="100"/>
      <c r="M10" s="20">
        <v>5</v>
      </c>
      <c r="N10" s="20">
        <f t="shared" si="1"/>
        <v>12.835233757393221</v>
      </c>
    </row>
    <row r="11" spans="1:14" x14ac:dyDescent="0.15">
      <c r="A11" s="21" t="s">
        <v>216</v>
      </c>
      <c r="B11" s="83">
        <v>10</v>
      </c>
      <c r="C11" s="21"/>
      <c r="D11" s="48">
        <v>0.45</v>
      </c>
      <c r="E11" s="33">
        <f t="shared" si="0"/>
        <v>16.879744852861645</v>
      </c>
      <c r="F11" s="21"/>
      <c r="G11" s="21"/>
      <c r="H11" s="21"/>
      <c r="I11" s="100"/>
      <c r="J11" s="100"/>
      <c r="K11" s="100"/>
      <c r="M11" s="20">
        <v>6</v>
      </c>
      <c r="N11" s="20">
        <f t="shared" si="1"/>
        <v>12.393771235070851</v>
      </c>
    </row>
    <row r="12" spans="1:14" x14ac:dyDescent="0.15">
      <c r="A12" s="21" t="s">
        <v>217</v>
      </c>
      <c r="B12" s="83">
        <v>6.5</v>
      </c>
      <c r="C12" s="21"/>
      <c r="D12" s="48">
        <v>0.5</v>
      </c>
      <c r="E12" s="33">
        <f t="shared" si="0"/>
        <v>18.224446648998615</v>
      </c>
      <c r="F12" s="21"/>
      <c r="G12" s="21"/>
      <c r="H12" s="21"/>
      <c r="I12" s="100"/>
      <c r="J12" s="100"/>
      <c r="K12" s="100"/>
    </row>
    <row r="13" spans="1:14" x14ac:dyDescent="0.15">
      <c r="A13" s="21" t="s">
        <v>218</v>
      </c>
      <c r="B13" s="83">
        <v>3</v>
      </c>
      <c r="C13" s="21"/>
      <c r="D13" s="21"/>
      <c r="E13" s="21"/>
      <c r="F13" s="21"/>
      <c r="G13" s="21"/>
      <c r="H13" s="21"/>
      <c r="I13" s="100"/>
      <c r="J13" s="100"/>
      <c r="K13" s="100"/>
    </row>
    <row r="14" spans="1:14" x14ac:dyDescent="0.15">
      <c r="A14" s="21" t="s">
        <v>219</v>
      </c>
      <c r="B14" s="82">
        <v>3.5000000000000003E-2</v>
      </c>
      <c r="C14" s="21"/>
      <c r="D14" s="21"/>
      <c r="E14" s="21"/>
      <c r="F14" s="21"/>
      <c r="G14" s="21"/>
      <c r="H14" s="21"/>
      <c r="I14" s="100"/>
      <c r="J14" s="100"/>
      <c r="K14" s="100"/>
    </row>
    <row r="15" spans="1:14" x14ac:dyDescent="0.15">
      <c r="A15" s="21"/>
      <c r="B15" s="21"/>
      <c r="C15" s="21"/>
      <c r="D15" s="21"/>
      <c r="E15" s="21"/>
      <c r="F15" s="21"/>
      <c r="G15" s="21"/>
      <c r="H15" s="21"/>
      <c r="I15" s="100"/>
      <c r="J15" s="100"/>
      <c r="K15" s="100"/>
    </row>
    <row r="16" spans="1:14" x14ac:dyDescent="0.15">
      <c r="A16" s="21" t="s">
        <v>162</v>
      </c>
      <c r="B16" s="59">
        <f>(LN(B6/B7)+(B8-B9+0.5*B10^2)*B12)/(B10*SQRT(B12))</f>
        <v>0.63217478288616458</v>
      </c>
      <c r="C16" s="21"/>
      <c r="D16" s="21"/>
      <c r="E16" s="21"/>
      <c r="F16" s="21"/>
      <c r="G16" s="21"/>
      <c r="H16" s="21"/>
      <c r="I16" s="21"/>
      <c r="J16" s="21"/>
      <c r="K16" s="21"/>
    </row>
    <row r="17" spans="1:5" x14ac:dyDescent="0.15">
      <c r="A17" s="21" t="s">
        <v>163</v>
      </c>
      <c r="B17" s="59">
        <f>B16-B10*SQRT(B12)</f>
        <v>-0.23465853442460882</v>
      </c>
      <c r="C17" s="21"/>
      <c r="D17" s="21"/>
      <c r="E17" s="21"/>
    </row>
    <row r="18" spans="1:5" x14ac:dyDescent="0.15">
      <c r="A18" s="21" t="s">
        <v>220</v>
      </c>
      <c r="B18" s="33">
        <f>B6 * EXP(-B9 * B12) * _xlfn.SINGLE(_xlfn.NORM.S.DIST(B16, TRUE())) - B7 * EXP(-B8 * B12) * _xlfn.SINGLE(_xlfn.NORM.S.DIST(B17, TRUE()))</f>
        <v>15.289923652829895</v>
      </c>
      <c r="C18" s="21"/>
      <c r="D18" s="21"/>
      <c r="E18" s="21"/>
    </row>
    <row r="19" spans="1:5" x14ac:dyDescent="0.15">
      <c r="A19" s="21" t="s">
        <v>221</v>
      </c>
      <c r="B19" s="33">
        <f>B18*EXP(-B14*B13)</f>
        <v>13.765893213114525</v>
      </c>
      <c r="C19" s="21"/>
      <c r="D19" s="21"/>
      <c r="E19" s="21"/>
    </row>
    <row r="20" spans="1:5" x14ac:dyDescent="0.15">
      <c r="A20" s="21" t="s">
        <v>222</v>
      </c>
      <c r="B20" s="60">
        <f>EXP(-B14*B13)</f>
        <v>0.90032452258626561</v>
      </c>
      <c r="C20" s="21"/>
      <c r="D20" s="21"/>
      <c r="E20" s="21"/>
    </row>
    <row r="21" spans="1:5" x14ac:dyDescent="0.15">
      <c r="A21" s="21" t="s">
        <v>223</v>
      </c>
      <c r="B21" s="33">
        <f>MAX(B6-B7,0)</f>
        <v>2</v>
      </c>
      <c r="C21" s="21"/>
      <c r="D21" s="21"/>
      <c r="E21" s="21"/>
    </row>
    <row r="22" spans="1:5" x14ac:dyDescent="0.15">
      <c r="A22" s="21"/>
      <c r="B22" s="21"/>
      <c r="C22" s="21"/>
      <c r="D22" s="21"/>
      <c r="E22" s="21"/>
    </row>
    <row r="23" spans="1:5" x14ac:dyDescent="0.15">
      <c r="A23" s="90" t="s">
        <v>224</v>
      </c>
      <c r="B23" s="90"/>
      <c r="C23" s="90"/>
      <c r="D23" s="90"/>
      <c r="E23" s="90"/>
    </row>
    <row r="24" spans="1:5" ht="14" customHeight="1" x14ac:dyDescent="0.15">
      <c r="A24" s="105" t="s">
        <v>225</v>
      </c>
      <c r="B24" s="105"/>
      <c r="C24" s="105"/>
      <c r="D24" s="105"/>
      <c r="E24" s="105"/>
    </row>
    <row r="25" spans="1:5" x14ac:dyDescent="0.15">
      <c r="A25" s="105"/>
      <c r="B25" s="105"/>
      <c r="C25" s="105"/>
      <c r="D25" s="105"/>
      <c r="E25" s="105"/>
    </row>
    <row r="26" spans="1:5" x14ac:dyDescent="0.15">
      <c r="A26" s="105"/>
      <c r="B26" s="105"/>
      <c r="C26" s="105"/>
      <c r="D26" s="105"/>
      <c r="E26" s="105"/>
    </row>
    <row r="27" spans="1:5" x14ac:dyDescent="0.15">
      <c r="A27" s="105"/>
      <c r="B27" s="105"/>
      <c r="C27" s="105"/>
      <c r="D27" s="105"/>
      <c r="E27" s="105"/>
    </row>
    <row r="28" spans="1:5" x14ac:dyDescent="0.15">
      <c r="A28" s="105"/>
      <c r="B28" s="105"/>
      <c r="C28" s="105"/>
      <c r="D28" s="105"/>
      <c r="E28" s="105"/>
    </row>
    <row r="29" spans="1:5" x14ac:dyDescent="0.15">
      <c r="A29" s="105"/>
      <c r="B29" s="105"/>
      <c r="C29" s="105"/>
      <c r="D29" s="105"/>
      <c r="E29" s="105"/>
    </row>
    <row r="30" spans="1:5" x14ac:dyDescent="0.15">
      <c r="A30" s="105"/>
      <c r="B30" s="105"/>
      <c r="C30" s="105"/>
      <c r="D30" s="105"/>
      <c r="E30" s="105"/>
    </row>
    <row r="31" spans="1:5" x14ac:dyDescent="0.15">
      <c r="A31" s="105"/>
      <c r="B31" s="105"/>
      <c r="C31" s="105"/>
      <c r="D31" s="105"/>
      <c r="E31" s="105"/>
    </row>
    <row r="33" spans="1:11" ht="16.5" customHeight="1" x14ac:dyDescent="0.15">
      <c r="A33" s="97" t="s">
        <v>75</v>
      </c>
      <c r="B33" s="97"/>
      <c r="C33" s="97"/>
      <c r="D33" s="97"/>
      <c r="E33" s="97"/>
      <c r="F33" s="97"/>
      <c r="G33" s="97"/>
      <c r="H33" s="97"/>
      <c r="I33" s="97"/>
      <c r="J33" s="97"/>
      <c r="K33" s="97"/>
    </row>
    <row r="34" spans="1:11" ht="13.5" customHeight="1" x14ac:dyDescent="0.15">
      <c r="A34" s="98" t="s">
        <v>226</v>
      </c>
      <c r="B34" s="98"/>
      <c r="C34" s="98"/>
      <c r="D34" s="98"/>
      <c r="E34" s="98"/>
      <c r="F34" s="98"/>
      <c r="G34" s="98"/>
      <c r="H34" s="98"/>
      <c r="I34" s="98"/>
      <c r="J34" s="98"/>
      <c r="K34" s="98"/>
    </row>
    <row r="35" spans="1:11" x14ac:dyDescent="0.15">
      <c r="A35" s="98"/>
      <c r="B35" s="98"/>
      <c r="C35" s="98"/>
      <c r="D35" s="98"/>
      <c r="E35" s="98"/>
      <c r="F35" s="98"/>
      <c r="G35" s="98"/>
      <c r="H35" s="98"/>
      <c r="I35" s="98"/>
      <c r="J35" s="98"/>
      <c r="K35" s="98"/>
    </row>
    <row r="36" spans="1:11" x14ac:dyDescent="0.15">
      <c r="A36" s="98"/>
      <c r="B36" s="98"/>
      <c r="C36" s="98"/>
      <c r="D36" s="98"/>
      <c r="E36" s="98"/>
      <c r="F36" s="98"/>
      <c r="G36" s="98"/>
      <c r="H36" s="98"/>
      <c r="I36" s="98"/>
      <c r="J36" s="98"/>
      <c r="K36" s="98"/>
    </row>
    <row r="37" spans="1:11" x14ac:dyDescent="0.15">
      <c r="A37" s="98"/>
      <c r="B37" s="98"/>
      <c r="C37" s="98"/>
      <c r="D37" s="98"/>
      <c r="E37" s="98"/>
      <c r="F37" s="98"/>
      <c r="G37" s="98"/>
      <c r="H37" s="98"/>
      <c r="I37" s="98"/>
      <c r="J37" s="98"/>
      <c r="K37" s="98"/>
    </row>
    <row r="38" spans="1:11" x14ac:dyDescent="0.15">
      <c r="A38" s="98"/>
      <c r="B38" s="98"/>
      <c r="C38" s="98"/>
      <c r="D38" s="98"/>
      <c r="E38" s="98"/>
      <c r="F38" s="98"/>
      <c r="G38" s="98"/>
      <c r="H38" s="98"/>
      <c r="I38" s="98"/>
      <c r="J38" s="98"/>
      <c r="K38" s="98"/>
    </row>
    <row r="39" spans="1:11" x14ac:dyDescent="0.15">
      <c r="A39" s="98"/>
      <c r="B39" s="98"/>
      <c r="C39" s="98"/>
      <c r="D39" s="98"/>
      <c r="E39" s="98"/>
      <c r="F39" s="98"/>
      <c r="G39" s="98"/>
      <c r="H39" s="98"/>
      <c r="I39" s="98"/>
      <c r="J39" s="98"/>
      <c r="K39" s="98"/>
    </row>
    <row r="40" spans="1:11" x14ac:dyDescent="0.15">
      <c r="A40" s="98"/>
      <c r="B40" s="98"/>
      <c r="C40" s="98"/>
      <c r="D40" s="98"/>
      <c r="E40" s="98"/>
      <c r="F40" s="98"/>
      <c r="G40" s="98"/>
      <c r="H40" s="98"/>
      <c r="I40" s="98"/>
      <c r="J40" s="98"/>
      <c r="K40" s="98"/>
    </row>
    <row r="41" spans="1:11" x14ac:dyDescent="0.15">
      <c r="A41" s="98"/>
      <c r="B41" s="98"/>
      <c r="C41" s="98"/>
      <c r="D41" s="98"/>
      <c r="E41" s="98"/>
      <c r="F41" s="98"/>
      <c r="G41" s="98"/>
      <c r="H41" s="98"/>
      <c r="I41" s="98"/>
      <c r="J41" s="98"/>
      <c r="K41" s="98"/>
    </row>
    <row r="42" spans="1:11" x14ac:dyDescent="0.15">
      <c r="A42" s="98"/>
      <c r="B42" s="98"/>
      <c r="C42" s="98"/>
      <c r="D42" s="98"/>
      <c r="E42" s="98"/>
      <c r="F42" s="98"/>
      <c r="G42" s="98"/>
      <c r="H42" s="98"/>
      <c r="I42" s="98"/>
      <c r="J42" s="98"/>
      <c r="K42" s="98"/>
    </row>
    <row r="43" spans="1:11" x14ac:dyDescent="0.15">
      <c r="A43" s="98"/>
      <c r="B43" s="98"/>
      <c r="C43" s="98"/>
      <c r="D43" s="98"/>
      <c r="E43" s="98"/>
      <c r="F43" s="98"/>
      <c r="G43" s="98"/>
      <c r="H43" s="98"/>
      <c r="I43" s="98"/>
      <c r="J43" s="98"/>
      <c r="K43" s="98"/>
    </row>
    <row r="44" spans="1:11" x14ac:dyDescent="0.15">
      <c r="A44" s="98"/>
      <c r="B44" s="98"/>
      <c r="C44" s="98"/>
      <c r="D44" s="98"/>
      <c r="E44" s="98"/>
      <c r="F44" s="98"/>
      <c r="G44" s="98"/>
      <c r="H44" s="98"/>
      <c r="I44" s="98"/>
      <c r="J44" s="98"/>
      <c r="K44" s="98"/>
    </row>
    <row r="45" spans="1:11" x14ac:dyDescent="0.15">
      <c r="A45" s="98"/>
      <c r="B45" s="98"/>
      <c r="C45" s="98"/>
      <c r="D45" s="98"/>
      <c r="E45" s="98"/>
      <c r="F45" s="98"/>
      <c r="G45" s="98"/>
      <c r="H45" s="98"/>
      <c r="I45" s="98"/>
      <c r="J45" s="98"/>
      <c r="K45" s="98"/>
    </row>
    <row r="46" spans="1:11" x14ac:dyDescent="0.15">
      <c r="A46" s="98"/>
      <c r="B46" s="98"/>
      <c r="C46" s="98"/>
      <c r="D46" s="98"/>
      <c r="E46" s="98"/>
      <c r="F46" s="98"/>
      <c r="G46" s="98"/>
      <c r="H46" s="98"/>
      <c r="I46" s="98"/>
      <c r="J46" s="98"/>
      <c r="K46" s="98"/>
    </row>
    <row r="47" spans="1:11" x14ac:dyDescent="0.15">
      <c r="A47" s="98"/>
      <c r="B47" s="98"/>
      <c r="C47" s="98"/>
      <c r="D47" s="98"/>
      <c r="E47" s="98"/>
      <c r="F47" s="98"/>
      <c r="G47" s="98"/>
      <c r="H47" s="98"/>
      <c r="I47" s="98"/>
      <c r="J47" s="98"/>
      <c r="K47" s="98"/>
    </row>
    <row r="48" spans="1:11" x14ac:dyDescent="0.15">
      <c r="A48" s="98"/>
      <c r="B48" s="98"/>
      <c r="C48" s="98"/>
      <c r="D48" s="98"/>
      <c r="E48" s="98"/>
      <c r="F48" s="98"/>
      <c r="G48" s="98"/>
      <c r="H48" s="98"/>
      <c r="I48" s="98"/>
      <c r="J48" s="98"/>
      <c r="K48" s="98"/>
    </row>
  </sheetData>
  <mergeCells count="7">
    <mergeCell ref="A33:K33"/>
    <mergeCell ref="A34:K48"/>
    <mergeCell ref="A1:K1"/>
    <mergeCell ref="I6:K6"/>
    <mergeCell ref="I7:K15"/>
    <mergeCell ref="A23:E23"/>
    <mergeCell ref="A24:E31"/>
  </mergeCells>
  <pageMargins left="0.7" right="0.7" top="0.75" bottom="0.75" header="0.511811023622047" footer="0.511811023622047"/>
  <pageSetup paperSize="9"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Menu</vt:lpstr>
      <vt:lpstr>Colab_Links</vt:lpstr>
      <vt:lpstr>Q5_i_Annuity</vt:lpstr>
      <vt:lpstr>Q5_ii_Bond_Duration</vt:lpstr>
      <vt:lpstr>Q5_iii_YTM</vt:lpstr>
      <vt:lpstr>Q5_iv_Mortgage</vt:lpstr>
      <vt:lpstr>Q5_v_TermStructure</vt:lpstr>
      <vt:lpstr>Q6_i_Black76</vt:lpstr>
      <vt:lpstr>Data_From_Collab</vt:lpstr>
      <vt:lpstr>Q6_ii_RawData</vt:lpstr>
      <vt:lpstr>Q6_ii_VaR_CVaR</vt:lpstr>
      <vt:lpstr>Q6_iii_ESO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Microsoft Office User</cp:lastModifiedBy>
  <cp:revision>1</cp:revision>
  <dcterms:created xsi:type="dcterms:W3CDTF">2026-03-23T14:57:48Z</dcterms:created>
  <dcterms:modified xsi:type="dcterms:W3CDTF">2026-04-01T00:24:22Z</dcterms:modified>
  <cp:category/>
  <cp:contentStatus/>
</cp:coreProperties>
</file>